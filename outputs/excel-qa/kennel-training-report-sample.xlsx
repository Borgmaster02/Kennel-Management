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Enter Training" state="visible" r:id="rId6"/>
    <sheet sheetId="4" name="Dogs" state="visible" r:id="rId7"/>
    <sheet sheetId="5" name="Trainings" state="visible" r:id="rId8"/>
    <sheet sheetId="6" name="Dog Runs" state="visible" r:id="rId9"/>
    <sheet sheetId="7" name="Health" state="visible" r:id="rId10"/>
    <sheet sheetId="8" name="Fixed Teams" state="visible" r:id="rId11"/>
  </sheets>
  <definedNames>
    <definedName name="_xlnm.Print_Area" localSheetId="0">'Overview'!$A1:$H12</definedName>
    <definedName name="_xlnm.Print_Area" localSheetId="2">'Enter Training'!$A1:$S54</definedName>
    <definedName name="_xlnm.Print_Area" localSheetId="3">'Dogs'!$A1:$Q8</definedName>
  </definedNames>
  <calcPr calcId="171027" fullCalcOnLoad="1"/>
</workbook>
</file>

<file path=xl/sharedStrings.xml><?xml version="1.0" encoding="utf-8"?>
<sst xmlns="http://schemas.openxmlformats.org/spreadsheetml/2006/main" count="1182" uniqueCount="121">
  <si>
    <t>Kennel Training Overview</t>
  </si>
  <si>
    <t>Generated 27/08/2026, 17:52:22 · Archived dogs are excluded from active KPIs</t>
  </si>
  <si>
    <t>Active dogs</t>
  </si>
  <si>
    <t>All active dogs by season km</t>
  </si>
  <si>
    <t>Archived dogs</t>
  </si>
  <si>
    <t>Rank</t>
  </si>
  <si>
    <t>Dog</t>
  </si>
  <si>
    <t>Season km</t>
  </si>
  <si>
    <t>Runs</t>
  </si>
  <si>
    <t>Last training</t>
  </si>
  <si>
    <t>Season workload</t>
  </si>
  <si>
    <t>Average km / active dog</t>
  </si>
  <si>
    <t>Dogs trained last 7 days</t>
  </si>
  <si>
    <t>Health restrictions</t>
  </si>
  <si>
    <t>Continue Working Offline</t>
  </si>
  <si>
    <t>The workbook can be updated directly in Excel without access to the app</t>
  </si>
  <si>
    <t>Step</t>
  </si>
  <si>
    <t>Area</t>
  </si>
  <si>
    <t>What to do</t>
  </si>
  <si>
    <t>1</t>
  </si>
  <si>
    <t>Add or update dogs</t>
  </si>
  <si>
    <t>Use the Dogs table. Enter dog names in uppercase. Green calculated columns update automatically when rows are added inside the table.</t>
  </si>
  <si>
    <t>2</t>
  </si>
  <si>
    <t>Record a training</t>
  </si>
  <si>
    <t>Add one row to Trainings for the overall run. The Training ID should be unique, for example TR-2026-08-27-01.</t>
  </si>
  <si>
    <t>3</t>
  </si>
  <si>
    <t>Record every dog run</t>
  </si>
  <si>
    <t>Add one Dog Runs row per dog that participated. This table drives kilometers, run counts, last training and the live ranking.</t>
  </si>
  <si>
    <t>4</t>
  </si>
  <si>
    <t>Add health information</t>
  </si>
  <si>
    <t>Use the Health table for notes and next checks. Select an existing dog name to keep records connected.</t>
  </si>
  <si>
    <t>5</t>
  </si>
  <si>
    <t>Review the overview</t>
  </si>
  <si>
    <t>The KPIs and ranking recalculate when Excel opens or when formulas calculate. Use Data &gt; Refresh/Recalculate if needed.</t>
  </si>
  <si>
    <t>Offline shortcut: Use Enter Training. Choose the dogs from the dropdowns; workload and ranking update automatically.</t>
  </si>
  <si>
    <t>Enter Training Offline</t>
  </si>
  <si>
    <t>Complete one row per training and select the participating dogs from the dropdown lists</t>
  </si>
  <si>
    <t>Date</t>
  </si>
  <si>
    <t>Guide</t>
  </si>
  <si>
    <t>Route</t>
  </si>
  <si>
    <t>Distance km</t>
  </si>
  <si>
    <t>Type</t>
  </si>
  <si>
    <t>Team</t>
  </si>
  <si>
    <t>Dog 1</t>
  </si>
  <si>
    <t>Dog 2</t>
  </si>
  <si>
    <t>Dog 3</t>
  </si>
  <si>
    <t>Dog 4</t>
  </si>
  <si>
    <t>Dog 5</t>
  </si>
  <si>
    <t>Dog 6</t>
  </si>
  <si>
    <t>Dog 7</t>
  </si>
  <si>
    <t>Dog 8</t>
  </si>
  <si>
    <t>Dog 9</t>
  </si>
  <si>
    <t>Dog 10</t>
  </si>
  <si>
    <t>Dog 11</t>
  </si>
  <si>
    <t>Dog 12</t>
  </si>
  <si>
    <t>Note</t>
  </si>
  <si>
    <t/>
  </si>
  <si>
    <t>ALBMI</t>
  </si>
  <si>
    <t>AJA</t>
  </si>
  <si>
    <t>AHPI</t>
  </si>
  <si>
    <t>Dogs</t>
  </si>
  <si>
    <t>White columns are editable. Green columns calculate automatically from Dog Runs.</t>
  </si>
  <si>
    <t>Sex</t>
  </si>
  <si>
    <t>Date of birth</t>
  </si>
  <si>
    <t>Main position</t>
  </si>
  <si>
    <t>Alternative</t>
  </si>
  <si>
    <t>Training status</t>
  </si>
  <si>
    <t>Health status</t>
  </si>
  <si>
    <t>Form</t>
  </si>
  <si>
    <t>Last heat</t>
  </si>
  <si>
    <t>Archived</t>
  </si>
  <si>
    <t>Days since</t>
  </si>
  <si>
    <t>Last 30 days km</t>
  </si>
  <si>
    <t>Notes</t>
  </si>
  <si>
    <t>Workload rank</t>
  </si>
  <si>
    <t>Male</t>
  </si>
  <si>
    <t>Active</t>
  </si>
  <si>
    <t>No</t>
  </si>
  <si>
    <t>Female</t>
  </si>
  <si>
    <t>BOUSSI</t>
  </si>
  <si>
    <t>Yes</t>
  </si>
  <si>
    <t>Training Sessions</t>
  </si>
  <si>
    <t>One row per saved training record; team members are listed for quick review</t>
  </si>
  <si>
    <t>Training ID</t>
  </si>
  <si>
    <t>Dog names &amp; positions</t>
  </si>
  <si>
    <t>Created at</t>
  </si>
  <si>
    <t>TR-QA-001</t>
  </si>
  <si>
    <t>Forest Loop</t>
  </si>
  <si>
    <t>ATV</t>
  </si>
  <si>
    <t>QA Guide</t>
  </si>
  <si>
    <t>Morning Team</t>
  </si>
  <si>
    <t>ALBMI (Lead), AJA (Team), AHPI (Wheel)</t>
  </si>
  <si>
    <t>Cool weather, good trail.</t>
  </si>
  <si>
    <t>2026-08-25T08:00:00Z</t>
  </si>
  <si>
    <t>Individual Dog Runs</t>
  </si>
  <si>
    <t>Detailed workload record for every dog in every saved training</t>
  </si>
  <si>
    <t>Position</t>
  </si>
  <si>
    <t>Problem</t>
  </si>
  <si>
    <t>Finished</t>
  </si>
  <si>
    <t>Removed</t>
  </si>
  <si>
    <t>Removed reason</t>
  </si>
  <si>
    <t>Dog note</t>
  </si>
  <si>
    <t>Dog archived</t>
  </si>
  <si>
    <t>Lead</t>
  </si>
  <si>
    <t>Wheel</t>
  </si>
  <si>
    <t>Health Notes</t>
  </si>
  <si>
    <t>Health history is retained for active and archived dogs</t>
  </si>
  <si>
    <t>Status</t>
  </si>
  <si>
    <t>Next check</t>
  </si>
  <si>
    <t>Profile updated</t>
  </si>
  <si>
    <t>Recorded at</t>
  </si>
  <si>
    <t>Health Note</t>
  </si>
  <si>
    <t>Watch</t>
  </si>
  <si>
    <t>Check paw after next run.</t>
  </si>
  <si>
    <t>Fixed Teams</t>
  </si>
  <si>
    <t>Saved team templates with positions and archive visibility</t>
  </si>
  <si>
    <t>Category</t>
  </si>
  <si>
    <t>All saved dogs</t>
  </si>
  <si>
    <t>Dogs &amp; positions</t>
  </si>
  <si>
    <t>Training Team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</si>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</sst>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 &quot;km&quot;"/>
    <numFmt numFmtId="165" formatCode="dd.mm.yyyy"/>
  </numFmts>
  <fonts count="10" x14ac:knownFonts="1">
    <font>
      <color theme="1"/>
      <family val="2"/>
      <scheme val="minor"/>
      <sz val="11"/>
      <name val="Calibri"/>
    </font>
    <font>
      <b/>
      <color rgb="FFFFFF"/>
      <sz val="22"/>
      <name val="Aptos Display"/>
    </font>
    <font>
      <i/>
      <color rgb="66736D"/>
      <name val="Aptos"/>
    </font>
    <font>
      <b/>
      <color rgb="26332E"/>
      <name val="Aptos"/>
    </font>
    <font>
      <b/>
      <color rgb="3F6E5A"/>
      <sz val="15"/>
      <name val="Aptos"/>
    </font>
    <font>
      <b/>
      <color rgb="FFFFFF"/>
      <sz val="14"/>
      <name val="Aptos"/>
    </font>
    <font>
      <b/>
      <color rgb="FFFFFF"/>
      <name val="Aptos"/>
    </font>
    <font>
      <color rgb="26332E"/>
      <name val="Aptos"/>
    </font>
    <font>
      <b/>
      <color rgb="FFFFFF"/>
    </font>
    <font>
      <b/>
      <color rgb="B85450"/>
      <name val="Aptos"/>
    </font>
  </fonts>
  <fills count="10">
    <fill>
      <patternFill patternType="none"/>
    </fill>
    <fill>
      <patternFill patternType="gray125"/>
    </fill>
    <fill>
      <patternFill patternType="solid">
        <fgColor rgb="243B32"/>
      </patternFill>
    </fill>
    <fill>
      <patternFill patternType="solid">
        <fgColor rgb="F7F3E8"/>
      </patternFill>
    </fill>
    <fill>
      <patternFill patternType="solid">
        <fgColor rgb="EAF3EE"/>
      </patternFill>
    </fill>
    <fill>
      <patternFill patternType="solid">
        <fgColor rgb="3F6E5A"/>
      </patternFill>
    </fill>
    <fill>
      <patternFill patternType="solid">
        <fgColor rgb="FCE8E6"/>
      </patternFill>
    </fill>
    <fill>
      <patternFill patternType="solid">
        <fgColor rgb="FFF9E8"/>
      </patternFill>
    </fill>
    <fill>
      <patternFill patternType="solid">
        <fgColor rgb="DDEFE5"/>
      </patternFill>
    </fill>
    <fill>
      <patternFill patternType="solid">
        <fgColor rgb="FFF0C9"/>
      </patternFill>
    </fill>
  </fills>
  <borders count="2">
    <border>
      <left/>
      <right/>
      <top/>
      <bottom/>
      <diagonal/>
    </border>
    <border>
      <left style="thin">
        <color rgb="D5DFDA"/>
      </left>
      <right style="thin">
        <color rgb="D5DFDA"/>
      </right>
      <top style="thin">
        <color rgb="D5DFDA"/>
      </top>
      <bottom style="thin">
        <color rgb="D5DFD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0" fontId="8" fillId="5" borderId="0" xfId="0" applyFont="1" applyFill="1"/>
    <xf numFmtId="0" fontId="6" fillId="5" borderId="0" xfId="0" applyFont="1" applyFill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6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0" fontId="8" fillId="0" borderId="0" xfId="0" applyFont="1"/>
    <xf numFmtId="165" fontId="6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5" fontId="7" fillId="7" borderId="0" xfId="0" applyNumberFormat="1" applyFont="1" applyFill="1" applyAlignment="1">
      <alignment vertical="top" wrapText="1"/>
    </xf>
    <xf numFmtId="0" fontId="7" fillId="7" borderId="0" xfId="0" applyFont="1" applyFill="1" applyAlignment="1">
      <alignment vertical="top" wrapText="1"/>
    </xf>
    <xf numFmtId="164" fontId="7" fillId="7" borderId="0" xfId="0" applyNumberFormat="1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165" fontId="0" fillId="4" borderId="0" xfId="0" applyNumberFormat="1" applyFill="1" applyAlignment="1">
      <alignment vertical="top" wrapText="1"/>
    </xf>
    <xf numFmtId="164" fontId="1" fillId="4" borderId="0" xfId="0" applyNumberFormat="1" applyFont="1" applyFill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164" fontId="6" fillId="4" borderId="0" xfId="0" applyNumberFormat="1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165" fontId="6" fillId="4" borderId="0" xfId="0" applyNumberFormat="1" applyFont="1" applyFill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7" fillId="8" borderId="0" xfId="0" applyFont="1" applyFill="1" applyAlignment="1">
      <alignment vertical="top" wrapText="1"/>
    </xf>
    <xf numFmtId="164" fontId="7" fillId="4" borderId="0" xfId="0" applyNumberFormat="1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165" fontId="7" fillId="4" borderId="0" xfId="0" applyNumberFormat="1" applyFont="1" applyFill="1" applyAlignment="1">
      <alignment vertical="top" wrapText="1"/>
    </xf>
    <xf numFmtId="164" fontId="7" fillId="0" borderId="0" xfId="0" applyNumberFormat="1" applyFont="1" applyAlignment="1">
      <alignment vertical="top" wrapText="1"/>
    </xf>
    <xf numFmtId="165" fontId="1" fillId="2" borderId="0" xfId="0" applyNumberFormat="1" applyFont="1" applyFill="1" applyAlignment="1">
      <alignment vertical="top" wrapText="1"/>
    </xf>
    <xf numFmtId="165" fontId="2" fillId="3" borderId="0" xfId="0" applyNumberFormat="1" applyFont="1" applyFill="1" applyAlignment="1">
      <alignment vertical="top" wrapText="1"/>
    </xf>
    <xf numFmtId="0" fontId="7" fillId="9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ainingEntryTable" displayName="TrainingEntryTable" ref="A4:S54" totalsRowShown="1" headerRowCount="1">
  <autoFilter ref="A4:S5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name="Date" totalsRowLabel="Total"/>
    <tableColumn id="2" name="Guide" totalsRowFunction="none"/>
    <tableColumn id="3" name="Route" totalsRowFunction="none"/>
    <tableColumn id="4" name="Distance km" totalsRowFunction="none"/>
    <tableColumn id="5" name="Type" totalsRowFunction="none"/>
    <tableColumn id="6" name="Team" totalsRowFunction="none"/>
    <tableColumn id="7" name="Dog 1" totalsRowFunction="none"/>
    <tableColumn id="8" name="Dog 2" totalsRowFunction="none"/>
    <tableColumn id="9" name="Dog 3" totalsRowFunction="none"/>
    <tableColumn id="10" name="Dog 4" totalsRowFunction="none"/>
    <tableColumn id="11" name="Dog 5" totalsRowFunction="none"/>
    <tableColumn id="12" name="Dog 6" totalsRowFunction="none"/>
    <tableColumn id="13" name="Dog 7" totalsRowFunction="none"/>
    <tableColumn id="14" name="Dog 8" totalsRowFunction="none"/>
    <tableColumn id="15" name="Dog 9" totalsRowFunction="none"/>
    <tableColumn id="16" name="Dog 10" totalsRowFunction="none"/>
    <tableColumn id="17" name="Dog 11" totalsRowFunction="none"/>
    <tableColumn id="18" name="Dog 12" totalsRowFunction="none"/>
    <tableColumn id="19" name="Note" totalsRowFunction="non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DogsTable" displayName="DogsTable" ref="A4:Q8" totalsRowShown="1" headerRowCount="1">
  <autoFilter ref="A4:Q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Dog" totalsRowLabel="Total"/>
    <tableColumn id="2" name="Sex" totalsRowFunction="none"/>
    <tableColumn id="3" name="Date of birth" totalsRowFunction="none"/>
    <tableColumn id="4" name="Main position" totalsRowFunction="none"/>
    <tableColumn id="5" name="Alternative" totalsRowFunction="none"/>
    <tableColumn id="6" name="Training status" totalsRowFunction="none"/>
    <tableColumn id="7" name="Health status" totalsRowFunction="none"/>
    <tableColumn id="8" name="Form" totalsRowFunction="none"/>
    <tableColumn id="9" name="Last heat" totalsRowFunction="none"/>
    <tableColumn id="10" name="Archived" totalsRowFunction="none"/>
    <tableColumn id="11" name="Season km" totalsRowFunction="none"/>
    <tableColumn id="12" name="Runs" totalsRowFunction="none"/>
    <tableColumn id="13" name="Last training" totalsRowFunction="none"/>
    <tableColumn id="14" name="Days since" totalsRowFunction="none"/>
    <tableColumn id="15" name="Last 30 days km" totalsRowFunction="none"/>
    <tableColumn id="16" name="Notes" totalsRowFunction="none"/>
    <tableColumn id="17" name="Workload rank" totalsRowFunction="non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rainingsTable" displayName="TrainingsTable" ref="A4:K5" totalsRowShown="1" headerRowCount="1">
  <autoFilter ref="A4:K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raining ID" totalsRowLabel="Total"/>
    <tableColumn id="2" name="Date" totalsRowFunction="none"/>
    <tableColumn id="3" name="Route" totalsRowFunction="none"/>
    <tableColumn id="4" name="Distance km" totalsRowFunction="none"/>
    <tableColumn id="5" name="Type" totalsRowFunction="none"/>
    <tableColumn id="6" name="Guide" totalsRowFunction="none"/>
    <tableColumn id="7" name="Team" totalsRowFunction="none"/>
    <tableColumn id="8" name="Dogs" totalsRowFunction="none"/>
    <tableColumn id="9" name="Dog names &amp; positions" totalsRowFunction="none"/>
    <tableColumn id="10" name="Note" totalsRowFunction="none"/>
    <tableColumn id="11" name="Created at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ogRunsTable" displayName="DogRunsTable" ref="A4:Q7" totalsRowShown="1" headerRowCount="1">
  <autoFilter ref="A4:Q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Training ID" totalsRowLabel="Total"/>
    <tableColumn id="2" name="Date" totalsRowFunction="none"/>
    <tableColumn id="3" name="Dog" totalsRowFunction="none"/>
    <tableColumn id="4" name="Sex" totalsRowFunction="none"/>
    <tableColumn id="5" name="Route" totalsRowFunction="none"/>
    <tableColumn id="6" name="Distance km" totalsRowFunction="none"/>
    <tableColumn id="7" name="Position" totalsRowFunction="none"/>
    <tableColumn id="8" name="Type" totalsRowFunction="none"/>
    <tableColumn id="9" name="Guide" totalsRowFunction="none"/>
    <tableColumn id="10" name="Team" totalsRowFunction="none"/>
    <tableColumn id="11" name="Form" totalsRowFunction="none"/>
    <tableColumn id="12" name="Problem" totalsRowFunction="none"/>
    <tableColumn id="13" name="Finished" totalsRowFunction="none"/>
    <tableColumn id="14" name="Removed" totalsRowFunction="none"/>
    <tableColumn id="15" name="Removed reason" totalsRowFunction="none"/>
    <tableColumn id="16" name="Dog note" totalsRowFunction="none"/>
    <tableColumn id="17" name="Dog archived" totalsRowFunction="non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HealthTable" displayName="HealthTable" ref="A4:J5" totalsRowShown="1" headerRowCount="1">
  <autoFilter ref="A4:J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Date" totalsRowLabel="Total"/>
    <tableColumn id="2" name="Dog" totalsRowFunction="none"/>
    <tableColumn id="3" name="Sex" totalsRowFunction="none"/>
    <tableColumn id="4" name="Type" totalsRowFunction="none"/>
    <tableColumn id="5" name="Status" totalsRowFunction="none"/>
    <tableColumn id="6" name="Note" totalsRowFunction="none"/>
    <tableColumn id="7" name="Next check" totalsRowFunction="none"/>
    <tableColumn id="8" name="Profile updated" totalsRowFunction="none"/>
    <tableColumn id="9" name="Dog archived" totalsRowFunction="none"/>
    <tableColumn id="10" name="Recorded at" totalsRowFunction="non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FixedTeamsTable" displayName="FixedTeamsTable" ref="A4:F5" totalsRowShown="1" headerRowCount="1">
  <autoFilter ref="A4:F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Team" totalsRowLabel="Total"/>
    <tableColumn id="2" name="Category" totalsRowFunction="none"/>
    <tableColumn id="3" name="Active dogs" totalsRowFunction="none"/>
    <tableColumn id="4" name="All saved dogs" totalsRowFunction="none"/>
    <tableColumn id="5" name="Dogs &amp; positions" totalsRowFunction="none"/>
    <tableColumn id="6" name="Notes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A441"/>
    <pageSetUpPr fitToPage="1"/>
  </sheetPr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8" customWidth="1"/>
    <col min="3" max="3" width="4" customWidth="1"/>
    <col min="4" max="4" width="10" customWidth="1"/>
    <col min="5" max="5" width="22" customWidth="1"/>
    <col min="6" max="6" width="14" customWidth="1"/>
    <col min="7" max="7" width="10" customWidth="1"/>
    <col min="8" max="8" width="18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4">
        <f>COUNTIF(Dogs!J5:J8,"No")</f>
        <v>3</v>
      </c>
      <c r="D4" s="5" t="s">
        <v>3</v>
      </c>
      <c r="E4" s="5"/>
      <c r="F4" s="5"/>
      <c r="G4" s="5"/>
      <c r="H4" s="5"/>
    </row>
    <row r="5" spans="1:8" x14ac:dyDescent="0.25">
      <c r="A5" s="3" t="s">
        <v>4</v>
      </c>
      <c r="B5" s="4">
        <f>COUNTIF(Dogs!J5:J8,"Yes")</f>
        <v>1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 spans="1:8" x14ac:dyDescent="0.25">
      <c r="A6" s="3" t="s">
        <v>10</v>
      </c>
      <c r="B6" s="7">
        <f>SUMIF(Dogs!J5:J8,"No",Dogs!K5:K8)</f>
        <v>36</v>
      </c>
      <c r="D6" s="8">
        <f>IFERROR(SMALL(Dogs!$Q$5:$Q$504,ROWS($D$6:D6)),"")</f>
        <v>1</v>
      </c>
      <c r="E6" s="8" t="str">
        <f>IF($D6="","",INDEX(Dogs!$A$5:$A$504,MATCH($D6,Dogs!$Q$5:$Q$504,0)))</f>
        <v>AHPI</v>
      </c>
      <c r="F6" s="9">
        <f>IF($D6="","",INDEX(Dogs!$K$5:$K$504,MATCH($D6,Dogs!$Q$5:$Q$504,0)))</f>
        <v>12</v>
      </c>
      <c r="G6" s="8">
        <f>IF($D6="","",INDEX(Dogs!$L$5:$L$504,MATCH($D6,Dogs!$Q$5:$Q$504,0)))</f>
        <v>1</v>
      </c>
      <c r="H6" s="10">
        <f>IF($D6="","",INDEX(Dogs!$M$5:$M$504,MATCH($D6,Dogs!$Q$5:$Q$504,0)))</f>
        <v>46259.5</v>
      </c>
    </row>
    <row r="7" spans="1:8" x14ac:dyDescent="0.25">
      <c r="A7" s="3" t="s">
        <v>11</v>
      </c>
      <c r="B7" s="7">
        <f>IF(B4=0,0,B6/B4)</f>
        <v>12</v>
      </c>
      <c r="D7" s="8">
        <f>IFERROR(SMALL(Dogs!$Q$5:$Q$504,ROWS($D$6:D7)),"")</f>
        <v>2</v>
      </c>
      <c r="E7" s="8" t="str">
        <f>IF($D7="","",INDEX(Dogs!$A$5:$A$504,MATCH($D7,Dogs!$Q$5:$Q$504,0)))</f>
        <v>AJA</v>
      </c>
      <c r="F7" s="9">
        <f>IF($D7="","",INDEX(Dogs!$K$5:$K$504,MATCH($D7,Dogs!$Q$5:$Q$504,0)))</f>
        <v>12</v>
      </c>
      <c r="G7" s="8">
        <f>IF($D7="","",INDEX(Dogs!$L$5:$L$504,MATCH($D7,Dogs!$Q$5:$Q$504,0)))</f>
        <v>1</v>
      </c>
      <c r="H7" s="10">
        <f>IF($D7="","",INDEX(Dogs!$M$5:$M$504,MATCH($D7,Dogs!$Q$5:$Q$504,0)))</f>
        <v>46259.5</v>
      </c>
    </row>
    <row r="8" spans="1:8" x14ac:dyDescent="0.25">
      <c r="A8" s="3" t="s">
        <v>12</v>
      </c>
      <c r="B8" s="4">
        <f>COUNTIFS(Dogs!J5:J8,"No",Dogs!N5:N8,"&lt;=7",Dogs!N5:N8,"&gt;=0")</f>
        <v>3</v>
      </c>
      <c r="D8" s="8">
        <f>IFERROR(SMALL(Dogs!$Q$5:$Q$504,ROWS($D$6:D8)),"")</f>
        <v>3</v>
      </c>
      <c r="E8" s="8" t="str">
        <f>IF($D8="","",INDEX(Dogs!$A$5:$A$504,MATCH($D8,Dogs!$Q$5:$Q$504,0)))</f>
        <v>ALBMI</v>
      </c>
      <c r="F8" s="9">
        <f>IF($D8="","",INDEX(Dogs!$K$5:$K$504,MATCH($D8,Dogs!$Q$5:$Q$504,0)))</f>
        <v>12</v>
      </c>
      <c r="G8" s="8">
        <f>IF($D8="","",INDEX(Dogs!$L$5:$L$504,MATCH($D8,Dogs!$Q$5:$Q$504,0)))</f>
        <v>1</v>
      </c>
      <c r="H8" s="10">
        <f>IF($D8="","",INDEX(Dogs!$M$5:$M$504,MATCH($D8,Dogs!$Q$5:$Q$504,0)))</f>
        <v>46259.5</v>
      </c>
    </row>
    <row r="9" spans="1:8" x14ac:dyDescent="0.25">
      <c r="A9" s="3" t="s">
        <v>13</v>
      </c>
      <c r="B9" s="4">
        <f>COUNTIF(Dogs!G5:G8,"Rest")+COUNTIF(Dogs!G5:G8,"Injured")+COUNTIF(Dogs!G5:G8,"Sick")+COUNTIF(Dogs!G5:G8,"In Heat")</f>
        <v>0</v>
      </c>
      <c r="D9" s="8" t="str">
        <f>IFERROR(SMALL(Dogs!$Q$5:$Q$504,ROWS($D$6:D9)),"")</f>
        <v/>
      </c>
      <c r="E9" s="8" t="str">
        <f>IF($D9="","",INDEX(Dogs!$A$5:$A$504,MATCH($D9,Dogs!$Q$5:$Q$504,0)))</f>
        <v/>
      </c>
      <c r="F9" s="9" t="str">
        <f>IF($D9="","",INDEX(Dogs!$K$5:$K$504,MATCH($D9,Dogs!$Q$5:$Q$504,0)))</f>
        <v/>
      </c>
      <c r="G9" s="8" t="str">
        <f>IF($D9="","",INDEX(Dogs!$L$5:$L$504,MATCH($D9,Dogs!$Q$5:$Q$504,0)))</f>
        <v/>
      </c>
      <c r="H9" s="10" t="str">
        <f>IF($D9="","",INDEX(Dogs!$M$5:$M$504,MATCH($D9,Dogs!$Q$5:$Q$504,0)))</f>
        <v/>
      </c>
    </row>
    <row r="10" spans="4:8" x14ac:dyDescent="0.25">
      <c r="D10" s="8" t="str">
        <f>IFERROR(SMALL(Dogs!$Q$5:$Q$504,ROWS($D$6:D10)),"")</f>
        <v/>
      </c>
      <c r="E10" s="8" t="str">
        <f>IF($D10="","",INDEX(Dogs!$A$5:$A$504,MATCH($D10,Dogs!$Q$5:$Q$504,0)))</f>
        <v/>
      </c>
      <c r="F10" s="9" t="str">
        <f>IF($D10="","",INDEX(Dogs!$K$5:$K$504,MATCH($D10,Dogs!$Q$5:$Q$504,0)))</f>
        <v/>
      </c>
      <c r="G10" s="8" t="str">
        <f>IF($D10="","",INDEX(Dogs!$L$5:$L$504,MATCH($D10,Dogs!$Q$5:$Q$504,0)))</f>
        <v/>
      </c>
      <c r="H10" s="10" t="str">
        <f>IF($D10="","",INDEX(Dogs!$M$5:$M$504,MATCH($D10,Dogs!$Q$5:$Q$504,0)))</f>
        <v/>
      </c>
    </row>
    <row r="11" spans="4:8" x14ac:dyDescent="0.25">
      <c r="D11" s="8" t="str">
        <f>IFERROR(SMALL(Dogs!$Q$5:$Q$504,ROWS($D$6:D11)),"")</f>
        <v/>
      </c>
      <c r="E11" s="8" t="str">
        <f>IF($D11="","",INDEX(Dogs!$A$5:$A$504,MATCH($D11,Dogs!$Q$5:$Q$504,0)))</f>
        <v/>
      </c>
      <c r="F11" s="9" t="str">
        <f>IF($D11="","",INDEX(Dogs!$K$5:$K$504,MATCH($D11,Dogs!$Q$5:$Q$504,0)))</f>
        <v/>
      </c>
      <c r="G11" s="8" t="str">
        <f>IF($D11="","",INDEX(Dogs!$L$5:$L$504,MATCH($D11,Dogs!$Q$5:$Q$504,0)))</f>
        <v/>
      </c>
      <c r="H11" s="10" t="str">
        <f>IF($D11="","",INDEX(Dogs!$M$5:$M$504,MATCH($D11,Dogs!$Q$5:$Q$504,0)))</f>
        <v/>
      </c>
    </row>
    <row r="12" spans="4:8" x14ac:dyDescent="0.25">
      <c r="D12" s="8" t="str">
        <f>IFERROR(SMALL(Dogs!$Q$5:$Q$504,ROWS($D$6:D12)),"")</f>
        <v/>
      </c>
      <c r="E12" s="8" t="str">
        <f>IF($D12="","",INDEX(Dogs!$A$5:$A$504,MATCH($D12,Dogs!$Q$5:$Q$504,0)))</f>
        <v/>
      </c>
      <c r="F12" s="9" t="str">
        <f>IF($D12="","",INDEX(Dogs!$K$5:$K$504,MATCH($D12,Dogs!$Q$5:$Q$504,0)))</f>
        <v/>
      </c>
      <c r="G12" s="8" t="str">
        <f>IF($D12="","",INDEX(Dogs!$L$5:$L$504,MATCH($D12,Dogs!$Q$5:$Q$504,0)))</f>
        <v/>
      </c>
      <c r="H12" s="10" t="str">
        <f>IF($D12="","",INDEX(Dogs!$M$5:$M$504,MATCH($D12,Dogs!$Q$5:$Q$504,0)))</f>
        <v/>
      </c>
    </row>
    <row r="13" spans="4:8" x14ac:dyDescent="0.25">
      <c r="D13" s="8" t="str">
        <f>IFERROR(SMALL(Dogs!$Q$5:$Q$504,ROWS($D$6:D13)),"")</f>
        <v/>
      </c>
      <c r="E13" s="8" t="str">
        <f>IF($D13="","",INDEX(Dogs!$A$5:$A$504,MATCH($D13,Dogs!$Q$5:$Q$504,0)))</f>
        <v/>
      </c>
      <c r="F13" s="9" t="str">
        <f>IF($D13="","",INDEX(Dogs!$K$5:$K$504,MATCH($D13,Dogs!$Q$5:$Q$504,0)))</f>
        <v/>
      </c>
      <c r="G13" s="8" t="str">
        <f>IF($D13="","",INDEX(Dogs!$L$5:$L$504,MATCH($D13,Dogs!$Q$5:$Q$504,0)))</f>
        <v/>
      </c>
      <c r="H13" s="10" t="str">
        <f>IF($D13="","",INDEX(Dogs!$M$5:$M$504,MATCH($D13,Dogs!$Q$5:$Q$504,0)))</f>
        <v/>
      </c>
    </row>
    <row r="14" spans="4:8" x14ac:dyDescent="0.25">
      <c r="D14" s="8" t="str">
        <f>IFERROR(SMALL(Dogs!$Q$5:$Q$504,ROWS($D$6:D14)),"")</f>
        <v/>
      </c>
      <c r="E14" s="8" t="str">
        <f>IF($D14="","",INDEX(Dogs!$A$5:$A$504,MATCH($D14,Dogs!$Q$5:$Q$504,0)))</f>
        <v/>
      </c>
      <c r="F14" s="9" t="str">
        <f>IF($D14="","",INDEX(Dogs!$K$5:$K$504,MATCH($D14,Dogs!$Q$5:$Q$504,0)))</f>
        <v/>
      </c>
      <c r="G14" s="8" t="str">
        <f>IF($D14="","",INDEX(Dogs!$L$5:$L$504,MATCH($D14,Dogs!$Q$5:$Q$504,0)))</f>
        <v/>
      </c>
      <c r="H14" s="10" t="str">
        <f>IF($D14="","",INDEX(Dogs!$M$5:$M$504,MATCH($D14,Dogs!$Q$5:$Q$504,0)))</f>
        <v/>
      </c>
    </row>
    <row r="15" spans="4:8" x14ac:dyDescent="0.25">
      <c r="D15" s="8" t="str">
        <f>IFERROR(SMALL(Dogs!$Q$5:$Q$504,ROWS($D$6:D15)),"")</f>
        <v/>
      </c>
      <c r="E15" s="8" t="str">
        <f>IF($D15="","",INDEX(Dogs!$A$5:$A$504,MATCH($D15,Dogs!$Q$5:$Q$504,0)))</f>
        <v/>
      </c>
      <c r="F15" s="9" t="str">
        <f>IF($D15="","",INDEX(Dogs!$K$5:$K$504,MATCH($D15,Dogs!$Q$5:$Q$504,0)))</f>
        <v/>
      </c>
      <c r="G15" s="8" t="str">
        <f>IF($D15="","",INDEX(Dogs!$L$5:$L$504,MATCH($D15,Dogs!$Q$5:$Q$504,0)))</f>
        <v/>
      </c>
      <c r="H15" s="10" t="str">
        <f>IF($D15="","",INDEX(Dogs!$M$5:$M$504,MATCH($D15,Dogs!$Q$5:$Q$504,0)))</f>
        <v/>
      </c>
    </row>
    <row r="16" spans="4:8" x14ac:dyDescent="0.25">
      <c r="D16" s="8" t="str">
        <f>IFERROR(SMALL(Dogs!$Q$5:$Q$504,ROWS($D$6:D16)),"")</f>
        <v/>
      </c>
      <c r="E16" s="8" t="str">
        <f>IF($D16="","",INDEX(Dogs!$A$5:$A$504,MATCH($D16,Dogs!$Q$5:$Q$504,0)))</f>
        <v/>
      </c>
      <c r="F16" s="9" t="str">
        <f>IF($D16="","",INDEX(Dogs!$K$5:$K$504,MATCH($D16,Dogs!$Q$5:$Q$504,0)))</f>
        <v/>
      </c>
      <c r="G16" s="8" t="str">
        <f>IF($D16="","",INDEX(Dogs!$L$5:$L$504,MATCH($D16,Dogs!$Q$5:$Q$504,0)))</f>
        <v/>
      </c>
      <c r="H16" s="10" t="str">
        <f>IF($D16="","",INDEX(Dogs!$M$5:$M$504,MATCH($D16,Dogs!$Q$5:$Q$504,0)))</f>
        <v/>
      </c>
    </row>
    <row r="17" spans="4:8" x14ac:dyDescent="0.25">
      <c r="D17" s="8" t="str">
        <f>IFERROR(SMALL(Dogs!$Q$5:$Q$504,ROWS($D$6:D17)),"")</f>
        <v/>
      </c>
      <c r="E17" s="8" t="str">
        <f>IF($D17="","",INDEX(Dogs!$A$5:$A$504,MATCH($D17,Dogs!$Q$5:$Q$504,0)))</f>
        <v/>
      </c>
      <c r="F17" s="9" t="str">
        <f>IF($D17="","",INDEX(Dogs!$K$5:$K$504,MATCH($D17,Dogs!$Q$5:$Q$504,0)))</f>
        <v/>
      </c>
      <c r="G17" s="8" t="str">
        <f>IF($D17="","",INDEX(Dogs!$L$5:$L$504,MATCH($D17,Dogs!$Q$5:$Q$504,0)))</f>
        <v/>
      </c>
      <c r="H17" s="10" t="str">
        <f>IF($D17="","",INDEX(Dogs!$M$5:$M$504,MATCH($D17,Dogs!$Q$5:$Q$504,0)))</f>
        <v/>
      </c>
    </row>
    <row r="18" spans="4:8" x14ac:dyDescent="0.25">
      <c r="D18" s="8" t="str">
        <f>IFERROR(SMALL(Dogs!$Q$5:$Q$504,ROWS($D$6:D18)),"")</f>
        <v/>
      </c>
      <c r="E18" s="8" t="str">
        <f>IF($D18="","",INDEX(Dogs!$A$5:$A$504,MATCH($D18,Dogs!$Q$5:$Q$504,0)))</f>
        <v/>
      </c>
      <c r="F18" s="9" t="str">
        <f>IF($D18="","",INDEX(Dogs!$K$5:$K$504,MATCH($D18,Dogs!$Q$5:$Q$504,0)))</f>
        <v/>
      </c>
      <c r="G18" s="8" t="str">
        <f>IF($D18="","",INDEX(Dogs!$L$5:$L$504,MATCH($D18,Dogs!$Q$5:$Q$504,0)))</f>
        <v/>
      </c>
      <c r="H18" s="10" t="str">
        <f>IF($D18="","",INDEX(Dogs!$M$5:$M$504,MATCH($D18,Dogs!$Q$5:$Q$504,0)))</f>
        <v/>
      </c>
    </row>
    <row r="19" spans="4:8" x14ac:dyDescent="0.25">
      <c r="D19" s="8" t="str">
        <f>IFERROR(SMALL(Dogs!$Q$5:$Q$504,ROWS($D$6:D19)),"")</f>
        <v/>
      </c>
      <c r="E19" s="8" t="str">
        <f>IF($D19="","",INDEX(Dogs!$A$5:$A$504,MATCH($D19,Dogs!$Q$5:$Q$504,0)))</f>
        <v/>
      </c>
      <c r="F19" s="9" t="str">
        <f>IF($D19="","",INDEX(Dogs!$K$5:$K$504,MATCH($D19,Dogs!$Q$5:$Q$504,0)))</f>
        <v/>
      </c>
      <c r="G19" s="8" t="str">
        <f>IF($D19="","",INDEX(Dogs!$L$5:$L$504,MATCH($D19,Dogs!$Q$5:$Q$504,0)))</f>
        <v/>
      </c>
      <c r="H19" s="10" t="str">
        <f>IF($D19="","",INDEX(Dogs!$M$5:$M$504,MATCH($D19,Dogs!$Q$5:$Q$504,0)))</f>
        <v/>
      </c>
    </row>
    <row r="20" spans="4:8" x14ac:dyDescent="0.25">
      <c r="D20" s="8" t="str">
        <f>IFERROR(SMALL(Dogs!$Q$5:$Q$504,ROWS($D$6:D20)),"")</f>
        <v/>
      </c>
      <c r="E20" s="8" t="str">
        <f>IF($D20="","",INDEX(Dogs!$A$5:$A$504,MATCH($D20,Dogs!$Q$5:$Q$504,0)))</f>
        <v/>
      </c>
      <c r="F20" s="9" t="str">
        <f>IF($D20="","",INDEX(Dogs!$K$5:$K$504,MATCH($D20,Dogs!$Q$5:$Q$504,0)))</f>
        <v/>
      </c>
      <c r="G20" s="8" t="str">
        <f>IF($D20="","",INDEX(Dogs!$L$5:$L$504,MATCH($D20,Dogs!$Q$5:$Q$504,0)))</f>
        <v/>
      </c>
      <c r="H20" s="10" t="str">
        <f>IF($D20="","",INDEX(Dogs!$M$5:$M$504,MATCH($D20,Dogs!$Q$5:$Q$504,0)))</f>
        <v/>
      </c>
    </row>
    <row r="21" spans="4:8" x14ac:dyDescent="0.25">
      <c r="D21" s="8" t="str">
        <f>IFERROR(SMALL(Dogs!$Q$5:$Q$504,ROWS($D$6:D21)),"")</f>
        <v/>
      </c>
      <c r="E21" s="8" t="str">
        <f>IF($D21="","",INDEX(Dogs!$A$5:$A$504,MATCH($D21,Dogs!$Q$5:$Q$504,0)))</f>
        <v/>
      </c>
      <c r="F21" s="9" t="str">
        <f>IF($D21="","",INDEX(Dogs!$K$5:$K$504,MATCH($D21,Dogs!$Q$5:$Q$504,0)))</f>
        <v/>
      </c>
      <c r="G21" s="8" t="str">
        <f>IF($D21="","",INDEX(Dogs!$L$5:$L$504,MATCH($D21,Dogs!$Q$5:$Q$504,0)))</f>
        <v/>
      </c>
      <c r="H21" s="10" t="str">
        <f>IF($D21="","",INDEX(Dogs!$M$5:$M$504,MATCH($D21,Dogs!$Q$5:$Q$504,0)))</f>
        <v/>
      </c>
    </row>
    <row r="22" spans="4:8" x14ac:dyDescent="0.25">
      <c r="D22" s="8" t="str">
        <f>IFERROR(SMALL(Dogs!$Q$5:$Q$504,ROWS($D$6:D22)),"")</f>
        <v/>
      </c>
      <c r="E22" s="8" t="str">
        <f>IF($D22="","",INDEX(Dogs!$A$5:$A$504,MATCH($D22,Dogs!$Q$5:$Q$504,0)))</f>
        <v/>
      </c>
      <c r="F22" s="9" t="str">
        <f>IF($D22="","",INDEX(Dogs!$K$5:$K$504,MATCH($D22,Dogs!$Q$5:$Q$504,0)))</f>
        <v/>
      </c>
      <c r="G22" s="8" t="str">
        <f>IF($D22="","",INDEX(Dogs!$L$5:$L$504,MATCH($D22,Dogs!$Q$5:$Q$504,0)))</f>
        <v/>
      </c>
      <c r="H22" s="10" t="str">
        <f>IF($D22="","",INDEX(Dogs!$M$5:$M$504,MATCH($D22,Dogs!$Q$5:$Q$504,0)))</f>
        <v/>
      </c>
    </row>
    <row r="23" spans="4:8" x14ac:dyDescent="0.25">
      <c r="D23" s="8" t="str">
        <f>IFERROR(SMALL(Dogs!$Q$5:$Q$504,ROWS($D$6:D23)),"")</f>
        <v/>
      </c>
      <c r="E23" s="8" t="str">
        <f>IF($D23="","",INDEX(Dogs!$A$5:$A$504,MATCH($D23,Dogs!$Q$5:$Q$504,0)))</f>
        <v/>
      </c>
      <c r="F23" s="9" t="str">
        <f>IF($D23="","",INDEX(Dogs!$K$5:$K$504,MATCH($D23,Dogs!$Q$5:$Q$504,0)))</f>
        <v/>
      </c>
      <c r="G23" s="8" t="str">
        <f>IF($D23="","",INDEX(Dogs!$L$5:$L$504,MATCH($D23,Dogs!$Q$5:$Q$504,0)))</f>
        <v/>
      </c>
      <c r="H23" s="10" t="str">
        <f>IF($D23="","",INDEX(Dogs!$M$5:$M$504,MATCH($D23,Dogs!$Q$5:$Q$504,0)))</f>
        <v/>
      </c>
    </row>
    <row r="24" spans="4:8" x14ac:dyDescent="0.25">
      <c r="D24" s="8" t="str">
        <f>IFERROR(SMALL(Dogs!$Q$5:$Q$504,ROWS($D$6:D24)),"")</f>
        <v/>
      </c>
      <c r="E24" s="8" t="str">
        <f>IF($D24="","",INDEX(Dogs!$A$5:$A$504,MATCH($D24,Dogs!$Q$5:$Q$504,0)))</f>
        <v/>
      </c>
      <c r="F24" s="9" t="str">
        <f>IF($D24="","",INDEX(Dogs!$K$5:$K$504,MATCH($D24,Dogs!$Q$5:$Q$504,0)))</f>
        <v/>
      </c>
      <c r="G24" s="8" t="str">
        <f>IF($D24="","",INDEX(Dogs!$L$5:$L$504,MATCH($D24,Dogs!$Q$5:$Q$504,0)))</f>
        <v/>
      </c>
      <c r="H24" s="10" t="str">
        <f>IF($D24="","",INDEX(Dogs!$M$5:$M$504,MATCH($D24,Dogs!$Q$5:$Q$504,0)))</f>
        <v/>
      </c>
    </row>
    <row r="25" spans="4:8" x14ac:dyDescent="0.25">
      <c r="D25" s="8" t="str">
        <f>IFERROR(SMALL(Dogs!$Q$5:$Q$504,ROWS($D$6:D25)),"")</f>
        <v/>
      </c>
      <c r="E25" s="8" t="str">
        <f>IF($D25="","",INDEX(Dogs!$A$5:$A$504,MATCH($D25,Dogs!$Q$5:$Q$504,0)))</f>
        <v/>
      </c>
      <c r="F25" s="9" t="str">
        <f>IF($D25="","",INDEX(Dogs!$K$5:$K$504,MATCH($D25,Dogs!$Q$5:$Q$504,0)))</f>
        <v/>
      </c>
      <c r="G25" s="8" t="str">
        <f>IF($D25="","",INDEX(Dogs!$L$5:$L$504,MATCH($D25,Dogs!$Q$5:$Q$504,0)))</f>
        <v/>
      </c>
      <c r="H25" s="10" t="str">
        <f>IF($D25="","",INDEX(Dogs!$M$5:$M$504,MATCH($D25,Dogs!$Q$5:$Q$504,0)))</f>
        <v/>
      </c>
    </row>
    <row r="26" spans="4:8" x14ac:dyDescent="0.25">
      <c r="D26" s="8" t="str">
        <f>IFERROR(SMALL(Dogs!$Q$5:$Q$504,ROWS($D$6:D26)),"")</f>
        <v/>
      </c>
      <c r="E26" s="8" t="str">
        <f>IF($D26="","",INDEX(Dogs!$A$5:$A$504,MATCH($D26,Dogs!$Q$5:$Q$504,0)))</f>
        <v/>
      </c>
      <c r="F26" s="9" t="str">
        <f>IF($D26="","",INDEX(Dogs!$K$5:$K$504,MATCH($D26,Dogs!$Q$5:$Q$504,0)))</f>
        <v/>
      </c>
      <c r="G26" s="8" t="str">
        <f>IF($D26="","",INDEX(Dogs!$L$5:$L$504,MATCH($D26,Dogs!$Q$5:$Q$504,0)))</f>
        <v/>
      </c>
      <c r="H26" s="10" t="str">
        <f>IF($D26="","",INDEX(Dogs!$M$5:$M$504,MATCH($D26,Dogs!$Q$5:$Q$504,0)))</f>
        <v/>
      </c>
    </row>
    <row r="27" spans="4:8" x14ac:dyDescent="0.25">
      <c r="D27" s="8" t="str">
        <f>IFERROR(SMALL(Dogs!$Q$5:$Q$504,ROWS($D$6:D27)),"")</f>
        <v/>
      </c>
      <c r="E27" s="8" t="str">
        <f>IF($D27="","",INDEX(Dogs!$A$5:$A$504,MATCH($D27,Dogs!$Q$5:$Q$504,0)))</f>
        <v/>
      </c>
      <c r="F27" s="9" t="str">
        <f>IF($D27="","",INDEX(Dogs!$K$5:$K$504,MATCH($D27,Dogs!$Q$5:$Q$504,0)))</f>
        <v/>
      </c>
      <c r="G27" s="8" t="str">
        <f>IF($D27="","",INDEX(Dogs!$L$5:$L$504,MATCH($D27,Dogs!$Q$5:$Q$504,0)))</f>
        <v/>
      </c>
      <c r="H27" s="10" t="str">
        <f>IF($D27="","",INDEX(Dogs!$M$5:$M$504,MATCH($D27,Dogs!$Q$5:$Q$504,0)))</f>
        <v/>
      </c>
    </row>
    <row r="28" spans="4:8" x14ac:dyDescent="0.25">
      <c r="D28" s="8" t="str">
        <f>IFERROR(SMALL(Dogs!$Q$5:$Q$504,ROWS($D$6:D28)),"")</f>
        <v/>
      </c>
      <c r="E28" s="8" t="str">
        <f>IF($D28="","",INDEX(Dogs!$A$5:$A$504,MATCH($D28,Dogs!$Q$5:$Q$504,0)))</f>
        <v/>
      </c>
      <c r="F28" s="9" t="str">
        <f>IF($D28="","",INDEX(Dogs!$K$5:$K$504,MATCH($D28,Dogs!$Q$5:$Q$504,0)))</f>
        <v/>
      </c>
      <c r="G28" s="8" t="str">
        <f>IF($D28="","",INDEX(Dogs!$L$5:$L$504,MATCH($D28,Dogs!$Q$5:$Q$504,0)))</f>
        <v/>
      </c>
      <c r="H28" s="10" t="str">
        <f>IF($D28="","",INDEX(Dogs!$M$5:$M$504,MATCH($D28,Dogs!$Q$5:$Q$504,0)))</f>
        <v/>
      </c>
    </row>
    <row r="29" spans="4:8" x14ac:dyDescent="0.25">
      <c r="D29" s="8" t="str">
        <f>IFERROR(SMALL(Dogs!$Q$5:$Q$504,ROWS($D$6:D29)),"")</f>
        <v/>
      </c>
      <c r="E29" s="8" t="str">
        <f>IF($D29="","",INDEX(Dogs!$A$5:$A$504,MATCH($D29,Dogs!$Q$5:$Q$504,0)))</f>
        <v/>
      </c>
      <c r="F29" s="9" t="str">
        <f>IF($D29="","",INDEX(Dogs!$K$5:$K$504,MATCH($D29,Dogs!$Q$5:$Q$504,0)))</f>
        <v/>
      </c>
      <c r="G29" s="8" t="str">
        <f>IF($D29="","",INDEX(Dogs!$L$5:$L$504,MATCH($D29,Dogs!$Q$5:$Q$504,0)))</f>
        <v/>
      </c>
      <c r="H29" s="10" t="str">
        <f>IF($D29="","",INDEX(Dogs!$M$5:$M$504,MATCH($D29,Dogs!$Q$5:$Q$504,0)))</f>
        <v/>
      </c>
    </row>
    <row r="30" spans="4:8" x14ac:dyDescent="0.25">
      <c r="D30" s="8" t="str">
        <f>IFERROR(SMALL(Dogs!$Q$5:$Q$504,ROWS($D$6:D30)),"")</f>
        <v/>
      </c>
      <c r="E30" s="8" t="str">
        <f>IF($D30="","",INDEX(Dogs!$A$5:$A$504,MATCH($D30,Dogs!$Q$5:$Q$504,0)))</f>
        <v/>
      </c>
      <c r="F30" s="9" t="str">
        <f>IF($D30="","",INDEX(Dogs!$K$5:$K$504,MATCH($D30,Dogs!$Q$5:$Q$504,0)))</f>
        <v/>
      </c>
      <c r="G30" s="8" t="str">
        <f>IF($D30="","",INDEX(Dogs!$L$5:$L$504,MATCH($D30,Dogs!$Q$5:$Q$504,0)))</f>
        <v/>
      </c>
      <c r="H30" s="10" t="str">
        <f>IF($D30="","",INDEX(Dogs!$M$5:$M$504,MATCH($D30,Dogs!$Q$5:$Q$504,0)))</f>
        <v/>
      </c>
    </row>
    <row r="31" spans="4:8" x14ac:dyDescent="0.25">
      <c r="D31" s="8" t="str">
        <f>IFERROR(SMALL(Dogs!$Q$5:$Q$504,ROWS($D$6:D31)),"")</f>
        <v/>
      </c>
      <c r="E31" s="8" t="str">
        <f>IF($D31="","",INDEX(Dogs!$A$5:$A$504,MATCH($D31,Dogs!$Q$5:$Q$504,0)))</f>
        <v/>
      </c>
      <c r="F31" s="9" t="str">
        <f>IF($D31="","",INDEX(Dogs!$K$5:$K$504,MATCH($D31,Dogs!$Q$5:$Q$504,0)))</f>
        <v/>
      </c>
      <c r="G31" s="8" t="str">
        <f>IF($D31="","",INDEX(Dogs!$L$5:$L$504,MATCH($D31,Dogs!$Q$5:$Q$504,0)))</f>
        <v/>
      </c>
      <c r="H31" s="10" t="str">
        <f>IF($D31="","",INDEX(Dogs!$M$5:$M$504,MATCH($D31,Dogs!$Q$5:$Q$504,0)))</f>
        <v/>
      </c>
    </row>
    <row r="32" spans="4:8" x14ac:dyDescent="0.25">
      <c r="D32" s="8" t="str">
        <f>IFERROR(SMALL(Dogs!$Q$5:$Q$504,ROWS($D$6:D32)),"")</f>
        <v/>
      </c>
      <c r="E32" s="8" t="str">
        <f>IF($D32="","",INDEX(Dogs!$A$5:$A$504,MATCH($D32,Dogs!$Q$5:$Q$504,0)))</f>
        <v/>
      </c>
      <c r="F32" s="9" t="str">
        <f>IF($D32="","",INDEX(Dogs!$K$5:$K$504,MATCH($D32,Dogs!$Q$5:$Q$504,0)))</f>
        <v/>
      </c>
      <c r="G32" s="8" t="str">
        <f>IF($D32="","",INDEX(Dogs!$L$5:$L$504,MATCH($D32,Dogs!$Q$5:$Q$504,0)))</f>
        <v/>
      </c>
      <c r="H32" s="10" t="str">
        <f>IF($D32="","",INDEX(Dogs!$M$5:$M$504,MATCH($D32,Dogs!$Q$5:$Q$504,0)))</f>
        <v/>
      </c>
    </row>
    <row r="33" spans="4:8" x14ac:dyDescent="0.25">
      <c r="D33" s="8" t="str">
        <f>IFERROR(SMALL(Dogs!$Q$5:$Q$504,ROWS($D$6:D33)),"")</f>
        <v/>
      </c>
      <c r="E33" s="8" t="str">
        <f>IF($D33="","",INDEX(Dogs!$A$5:$A$504,MATCH($D33,Dogs!$Q$5:$Q$504,0)))</f>
        <v/>
      </c>
      <c r="F33" s="9" t="str">
        <f>IF($D33="","",INDEX(Dogs!$K$5:$K$504,MATCH($D33,Dogs!$Q$5:$Q$504,0)))</f>
        <v/>
      </c>
      <c r="G33" s="8" t="str">
        <f>IF($D33="","",INDEX(Dogs!$L$5:$L$504,MATCH($D33,Dogs!$Q$5:$Q$504,0)))</f>
        <v/>
      </c>
      <c r="H33" s="10" t="str">
        <f>IF($D33="","",INDEX(Dogs!$M$5:$M$504,MATCH($D33,Dogs!$Q$5:$Q$504,0)))</f>
        <v/>
      </c>
    </row>
    <row r="34" spans="4:8" x14ac:dyDescent="0.25">
      <c r="D34" s="8" t="str">
        <f>IFERROR(SMALL(Dogs!$Q$5:$Q$504,ROWS($D$6:D34)),"")</f>
        <v/>
      </c>
      <c r="E34" s="8" t="str">
        <f>IF($D34="","",INDEX(Dogs!$A$5:$A$504,MATCH($D34,Dogs!$Q$5:$Q$504,0)))</f>
        <v/>
      </c>
      <c r="F34" s="9" t="str">
        <f>IF($D34="","",INDEX(Dogs!$K$5:$K$504,MATCH($D34,Dogs!$Q$5:$Q$504,0)))</f>
        <v/>
      </c>
      <c r="G34" s="8" t="str">
        <f>IF($D34="","",INDEX(Dogs!$L$5:$L$504,MATCH($D34,Dogs!$Q$5:$Q$504,0)))</f>
        <v/>
      </c>
      <c r="H34" s="10" t="str">
        <f>IF($D34="","",INDEX(Dogs!$M$5:$M$504,MATCH($D34,Dogs!$Q$5:$Q$504,0)))</f>
        <v/>
      </c>
    </row>
    <row r="35" spans="4:8" x14ac:dyDescent="0.25">
      <c r="D35" s="8" t="str">
        <f>IFERROR(SMALL(Dogs!$Q$5:$Q$504,ROWS($D$6:D35)),"")</f>
        <v/>
      </c>
      <c r="E35" s="8" t="str">
        <f>IF($D35="","",INDEX(Dogs!$A$5:$A$504,MATCH($D35,Dogs!$Q$5:$Q$504,0)))</f>
        <v/>
      </c>
      <c r="F35" s="9" t="str">
        <f>IF($D35="","",INDEX(Dogs!$K$5:$K$504,MATCH($D35,Dogs!$Q$5:$Q$504,0)))</f>
        <v/>
      </c>
      <c r="G35" s="8" t="str">
        <f>IF($D35="","",INDEX(Dogs!$L$5:$L$504,MATCH($D35,Dogs!$Q$5:$Q$504,0)))</f>
        <v/>
      </c>
      <c r="H35" s="10" t="str">
        <f>IF($D35="","",INDEX(Dogs!$M$5:$M$504,MATCH($D35,Dogs!$Q$5:$Q$504,0)))</f>
        <v/>
      </c>
    </row>
  </sheetData>
  <autoFilter ref="D5:H8"/>
  <mergeCells count="3">
    <mergeCell ref="A1:H1"/>
    <mergeCell ref="A2:H2"/>
    <mergeCell ref="D4:H4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E9B94"/>
    <pageSetUpPr fitToPage="1"/>
  </sheetPr>
  <dimension ref="A1:H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72" customWidth="1"/>
    <col min="4" max="4" width="4" customWidth="1"/>
    <col min="5" max="6" width="24" customWidth="1"/>
    <col min="7" max="8" width="18" customWidth="1"/>
  </cols>
  <sheetData>
    <row r="1" ht="36" customHeight="1" spans="1:8" x14ac:dyDescent="0.25">
      <c r="A1" s="1" t="s">
        <v>14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15</v>
      </c>
      <c r="B2" s="2"/>
      <c r="C2" s="2"/>
      <c r="D2" s="2"/>
      <c r="E2" s="2"/>
      <c r="F2" s="2"/>
      <c r="G2" s="2"/>
      <c r="H2" s="2"/>
    </row>
    <row r="4" spans="1:3" s="11" customFormat="1" x14ac:dyDescent="0.25">
      <c r="A4" s="12" t="s">
        <v>16</v>
      </c>
      <c r="B4" s="12" t="s">
        <v>17</v>
      </c>
      <c r="C4" s="12" t="s">
        <v>18</v>
      </c>
    </row>
    <row r="5" ht="44" customHeight="1" spans="1:3" x14ac:dyDescent="0.25">
      <c r="A5" s="4" t="s">
        <v>19</v>
      </c>
      <c r="B5" s="13" t="s">
        <v>20</v>
      </c>
      <c r="C5" s="8" t="s">
        <v>21</v>
      </c>
    </row>
    <row r="6" ht="44" customHeight="1" spans="1:3" x14ac:dyDescent="0.25">
      <c r="A6" s="4" t="s">
        <v>22</v>
      </c>
      <c r="B6" s="13" t="s">
        <v>23</v>
      </c>
      <c r="C6" s="8" t="s">
        <v>24</v>
      </c>
    </row>
    <row r="7" ht="44" customHeight="1" spans="1:3" x14ac:dyDescent="0.25">
      <c r="A7" s="4" t="s">
        <v>25</v>
      </c>
      <c r="B7" s="13" t="s">
        <v>26</v>
      </c>
      <c r="C7" s="8" t="s">
        <v>27</v>
      </c>
    </row>
    <row r="8" ht="44" customHeight="1" spans="1:3" x14ac:dyDescent="0.25">
      <c r="A8" s="4" t="s">
        <v>28</v>
      </c>
      <c r="B8" s="13" t="s">
        <v>29</v>
      </c>
      <c r="C8" s="8" t="s">
        <v>30</v>
      </c>
    </row>
    <row r="9" ht="44" customHeight="1" spans="1:3" x14ac:dyDescent="0.25">
      <c r="A9" s="4" t="s">
        <v>31</v>
      </c>
      <c r="B9" s="13" t="s">
        <v>32</v>
      </c>
      <c r="C9" s="8" t="s">
        <v>33</v>
      </c>
    </row>
    <row r="12" ht="38" customHeight="1" spans="1:3" x14ac:dyDescent="0.25">
      <c r="A12" s="14" t="s">
        <v>34</v>
      </c>
      <c r="B12" s="14"/>
      <c r="C12" s="14"/>
    </row>
  </sheetData>
  <mergeCells count="3">
    <mergeCell ref="A1:H1"/>
    <mergeCell ref="A2:H2"/>
    <mergeCell ref="A12:C12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A441"/>
    <pageSetUpPr fitToPage="1"/>
  </sheetPr>
  <dimension ref="A1:T5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style="15" customWidth="1"/>
    <col min="2" max="2" width="18" style="16" customWidth="1"/>
    <col min="3" max="3" width="22" style="16" customWidth="1"/>
    <col min="4" max="4" width="12" style="17" customWidth="1"/>
    <col min="5" max="5" width="14" style="16" customWidth="1"/>
    <col min="6" max="18" width="18" style="16" customWidth="1"/>
    <col min="19" max="19" width="38" style="16" customWidth="1"/>
    <col min="20" max="20" width="2" hidden="1" customWidth="1"/>
  </cols>
  <sheetData>
    <row r="1" ht="36" customHeight="1" spans="1:19" x14ac:dyDescent="0.25">
      <c r="A1" s="18" t="s">
        <v>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ht="24" customHeight="1" spans="1:19" x14ac:dyDescent="0.25">
      <c r="A2" s="19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ht="28" customHeight="1" spans="1:19" s="20" customFormat="1" x14ac:dyDescent="0.25">
      <c r="A4" s="21" t="s">
        <v>37</v>
      </c>
      <c r="B4" s="22" t="s">
        <v>38</v>
      </c>
      <c r="C4" s="22" t="s">
        <v>39</v>
      </c>
      <c r="D4" s="23" t="s">
        <v>40</v>
      </c>
      <c r="E4" s="22" t="s">
        <v>41</v>
      </c>
      <c r="F4" s="22" t="s">
        <v>42</v>
      </c>
      <c r="G4" s="22" t="s">
        <v>43</v>
      </c>
      <c r="H4" s="22" t="s">
        <v>44</v>
      </c>
      <c r="I4" s="22" t="s">
        <v>45</v>
      </c>
      <c r="J4" s="22" t="s">
        <v>46</v>
      </c>
      <c r="K4" s="22" t="s">
        <v>47</v>
      </c>
      <c r="L4" s="22" t="s">
        <v>48</v>
      </c>
      <c r="M4" s="22" t="s">
        <v>49</v>
      </c>
      <c r="N4" s="22" t="s">
        <v>50</v>
      </c>
      <c r="O4" s="22" t="s">
        <v>51</v>
      </c>
      <c r="P4" s="22" t="s">
        <v>52</v>
      </c>
      <c r="Q4" s="22" t="s">
        <v>53</v>
      </c>
      <c r="R4" s="22" t="s">
        <v>54</v>
      </c>
      <c r="S4" s="22" t="s">
        <v>55</v>
      </c>
    </row>
    <row r="5" ht="22" customHeight="1" spans="1:20" x14ac:dyDescent="0.25">
      <c r="A5" s="24" t="s">
        <v>56</v>
      </c>
      <c r="B5" s="25" t="s">
        <v>56</v>
      </c>
      <c r="C5" s="25" t="s">
        <v>56</v>
      </c>
      <c r="D5" s="26" t="s">
        <v>56</v>
      </c>
      <c r="E5" s="25" t="s">
        <v>56</v>
      </c>
      <c r="F5" s="25" t="s">
        <v>56</v>
      </c>
      <c r="G5" s="25" t="s">
        <v>56</v>
      </c>
      <c r="H5" s="25" t="s">
        <v>56</v>
      </c>
      <c r="I5" s="25" t="s">
        <v>56</v>
      </c>
      <c r="J5" s="25" t="s">
        <v>56</v>
      </c>
      <c r="K5" s="25" t="s">
        <v>56</v>
      </c>
      <c r="L5" s="25" t="s">
        <v>56</v>
      </c>
      <c r="M5" s="25" t="s">
        <v>56</v>
      </c>
      <c r="N5" s="25" t="s">
        <v>56</v>
      </c>
      <c r="O5" s="25" t="s">
        <v>56</v>
      </c>
      <c r="P5" s="25" t="s">
        <v>56</v>
      </c>
      <c r="Q5" s="25" t="s">
        <v>56</v>
      </c>
      <c r="R5" s="25" t="s">
        <v>56</v>
      </c>
      <c r="S5" s="25" t="s">
        <v>56</v>
      </c>
      <c r="T5" s="27" t="s">
        <v>57</v>
      </c>
    </row>
    <row r="6" ht="22" customHeight="1" spans="1:20" x14ac:dyDescent="0.25">
      <c r="A6" s="24" t="s">
        <v>56</v>
      </c>
      <c r="B6" s="25" t="s">
        <v>56</v>
      </c>
      <c r="C6" s="25" t="s">
        <v>56</v>
      </c>
      <c r="D6" s="26" t="s">
        <v>56</v>
      </c>
      <c r="E6" s="25" t="s">
        <v>56</v>
      </c>
      <c r="F6" s="25" t="s">
        <v>56</v>
      </c>
      <c r="G6" s="25" t="s">
        <v>56</v>
      </c>
      <c r="H6" s="25" t="s">
        <v>56</v>
      </c>
      <c r="I6" s="25" t="s">
        <v>56</v>
      </c>
      <c r="J6" s="25" t="s">
        <v>56</v>
      </c>
      <c r="K6" s="25" t="s">
        <v>56</v>
      </c>
      <c r="L6" s="25" t="s">
        <v>56</v>
      </c>
      <c r="M6" s="25" t="s">
        <v>56</v>
      </c>
      <c r="N6" s="25" t="s">
        <v>56</v>
      </c>
      <c r="O6" s="25" t="s">
        <v>56</v>
      </c>
      <c r="P6" s="25" t="s">
        <v>56</v>
      </c>
      <c r="Q6" s="25" t="s">
        <v>56</v>
      </c>
      <c r="R6" s="25" t="s">
        <v>56</v>
      </c>
      <c r="S6" s="25" t="s">
        <v>56</v>
      </c>
      <c r="T6" s="27" t="s">
        <v>58</v>
      </c>
    </row>
    <row r="7" ht="22" customHeight="1" spans="1:20" x14ac:dyDescent="0.25">
      <c r="A7" s="24" t="s">
        <v>56</v>
      </c>
      <c r="B7" s="25" t="s">
        <v>56</v>
      </c>
      <c r="C7" s="25" t="s">
        <v>56</v>
      </c>
      <c r="D7" s="26" t="s">
        <v>56</v>
      </c>
      <c r="E7" s="25" t="s">
        <v>56</v>
      </c>
      <c r="F7" s="25" t="s">
        <v>56</v>
      </c>
      <c r="G7" s="25" t="s">
        <v>56</v>
      </c>
      <c r="H7" s="25" t="s">
        <v>56</v>
      </c>
      <c r="I7" s="25" t="s">
        <v>56</v>
      </c>
      <c r="J7" s="25" t="s">
        <v>56</v>
      </c>
      <c r="K7" s="25" t="s">
        <v>56</v>
      </c>
      <c r="L7" s="25" t="s">
        <v>56</v>
      </c>
      <c r="M7" s="25" t="s">
        <v>56</v>
      </c>
      <c r="N7" s="25" t="s">
        <v>56</v>
      </c>
      <c r="O7" s="25" t="s">
        <v>56</v>
      </c>
      <c r="P7" s="25" t="s">
        <v>56</v>
      </c>
      <c r="Q7" s="25" t="s">
        <v>56</v>
      </c>
      <c r="R7" s="25" t="s">
        <v>56</v>
      </c>
      <c r="S7" s="25" t="s">
        <v>56</v>
      </c>
      <c r="T7" s="27" t="s">
        <v>59</v>
      </c>
    </row>
    <row r="8" ht="22" customHeight="1" spans="1:19" x14ac:dyDescent="0.25">
      <c r="A8" s="24" t="s">
        <v>56</v>
      </c>
      <c r="B8" s="25" t="s">
        <v>56</v>
      </c>
      <c r="C8" s="25" t="s">
        <v>56</v>
      </c>
      <c r="D8" s="26" t="s">
        <v>56</v>
      </c>
      <c r="E8" s="25" t="s">
        <v>56</v>
      </c>
      <c r="F8" s="25" t="s">
        <v>56</v>
      </c>
      <c r="G8" s="25" t="s">
        <v>56</v>
      </c>
      <c r="H8" s="25" t="s">
        <v>56</v>
      </c>
      <c r="I8" s="25" t="s">
        <v>56</v>
      </c>
      <c r="J8" s="25" t="s">
        <v>56</v>
      </c>
      <c r="K8" s="25" t="s">
        <v>56</v>
      </c>
      <c r="L8" s="25" t="s">
        <v>56</v>
      </c>
      <c r="M8" s="25" t="s">
        <v>56</v>
      </c>
      <c r="N8" s="25" t="s">
        <v>56</v>
      </c>
      <c r="O8" s="25" t="s">
        <v>56</v>
      </c>
      <c r="P8" s="25" t="s">
        <v>56</v>
      </c>
      <c r="Q8" s="25" t="s">
        <v>56</v>
      </c>
      <c r="R8" s="25" t="s">
        <v>56</v>
      </c>
      <c r="S8" s="25" t="s">
        <v>56</v>
      </c>
    </row>
    <row r="9" ht="22" customHeight="1" spans="1:19" x14ac:dyDescent="0.25">
      <c r="A9" s="24" t="s">
        <v>56</v>
      </c>
      <c r="B9" s="25" t="s">
        <v>56</v>
      </c>
      <c r="C9" s="25" t="s">
        <v>56</v>
      </c>
      <c r="D9" s="26" t="s">
        <v>56</v>
      </c>
      <c r="E9" s="25" t="s">
        <v>56</v>
      </c>
      <c r="F9" s="25" t="s">
        <v>56</v>
      </c>
      <c r="G9" s="25" t="s">
        <v>56</v>
      </c>
      <c r="H9" s="25" t="s">
        <v>56</v>
      </c>
      <c r="I9" s="25" t="s">
        <v>56</v>
      </c>
      <c r="J9" s="25" t="s">
        <v>56</v>
      </c>
      <c r="K9" s="25" t="s">
        <v>56</v>
      </c>
      <c r="L9" s="25" t="s">
        <v>56</v>
      </c>
      <c r="M9" s="25" t="s">
        <v>56</v>
      </c>
      <c r="N9" s="25" t="s">
        <v>56</v>
      </c>
      <c r="O9" s="25" t="s">
        <v>56</v>
      </c>
      <c r="P9" s="25" t="s">
        <v>56</v>
      </c>
      <c r="Q9" s="25" t="s">
        <v>56</v>
      </c>
      <c r="R9" s="25" t="s">
        <v>56</v>
      </c>
      <c r="S9" s="25" t="s">
        <v>56</v>
      </c>
    </row>
    <row r="10" ht="22" customHeight="1" spans="1:19" x14ac:dyDescent="0.25">
      <c r="A10" s="24" t="s">
        <v>56</v>
      </c>
      <c r="B10" s="25" t="s">
        <v>56</v>
      </c>
      <c r="C10" s="25" t="s">
        <v>56</v>
      </c>
      <c r="D10" s="26" t="s">
        <v>56</v>
      </c>
      <c r="E10" s="25" t="s">
        <v>56</v>
      </c>
      <c r="F10" s="25" t="s">
        <v>56</v>
      </c>
      <c r="G10" s="25" t="s">
        <v>56</v>
      </c>
      <c r="H10" s="25" t="s">
        <v>56</v>
      </c>
      <c r="I10" s="25" t="s">
        <v>56</v>
      </c>
      <c r="J10" s="25" t="s">
        <v>56</v>
      </c>
      <c r="K10" s="25" t="s">
        <v>56</v>
      </c>
      <c r="L10" s="25" t="s">
        <v>56</v>
      </c>
      <c r="M10" s="25" t="s">
        <v>56</v>
      </c>
      <c r="N10" s="25" t="s">
        <v>56</v>
      </c>
      <c r="O10" s="25" t="s">
        <v>56</v>
      </c>
      <c r="P10" s="25" t="s">
        <v>56</v>
      </c>
      <c r="Q10" s="25" t="s">
        <v>56</v>
      </c>
      <c r="R10" s="25" t="s">
        <v>56</v>
      </c>
      <c r="S10" s="25" t="s">
        <v>56</v>
      </c>
    </row>
    <row r="11" ht="22" customHeight="1" spans="1:19" x14ac:dyDescent="0.25">
      <c r="A11" s="24" t="s">
        <v>56</v>
      </c>
      <c r="B11" s="25" t="s">
        <v>56</v>
      </c>
      <c r="C11" s="25" t="s">
        <v>56</v>
      </c>
      <c r="D11" s="26" t="s">
        <v>56</v>
      </c>
      <c r="E11" s="25" t="s">
        <v>56</v>
      </c>
      <c r="F11" s="25" t="s">
        <v>56</v>
      </c>
      <c r="G11" s="25" t="s">
        <v>56</v>
      </c>
      <c r="H11" s="25" t="s">
        <v>56</v>
      </c>
      <c r="I11" s="25" t="s">
        <v>56</v>
      </c>
      <c r="J11" s="25" t="s">
        <v>56</v>
      </c>
      <c r="K11" s="25" t="s">
        <v>56</v>
      </c>
      <c r="L11" s="25" t="s">
        <v>56</v>
      </c>
      <c r="M11" s="25" t="s">
        <v>56</v>
      </c>
      <c r="N11" s="25" t="s">
        <v>56</v>
      </c>
      <c r="O11" s="25" t="s">
        <v>56</v>
      </c>
      <c r="P11" s="25" t="s">
        <v>56</v>
      </c>
      <c r="Q11" s="25" t="s">
        <v>56</v>
      </c>
      <c r="R11" s="25" t="s">
        <v>56</v>
      </c>
      <c r="S11" s="25" t="s">
        <v>56</v>
      </c>
    </row>
    <row r="12" ht="22" customHeight="1" spans="1:19" x14ac:dyDescent="0.25">
      <c r="A12" s="24" t="s">
        <v>56</v>
      </c>
      <c r="B12" s="25" t="s">
        <v>56</v>
      </c>
      <c r="C12" s="25" t="s">
        <v>56</v>
      </c>
      <c r="D12" s="26" t="s">
        <v>56</v>
      </c>
      <c r="E12" s="25" t="s">
        <v>56</v>
      </c>
      <c r="F12" s="25" t="s">
        <v>56</v>
      </c>
      <c r="G12" s="25" t="s">
        <v>56</v>
      </c>
      <c r="H12" s="25" t="s">
        <v>56</v>
      </c>
      <c r="I12" s="25" t="s">
        <v>56</v>
      </c>
      <c r="J12" s="25" t="s">
        <v>56</v>
      </c>
      <c r="K12" s="25" t="s">
        <v>56</v>
      </c>
      <c r="L12" s="25" t="s">
        <v>56</v>
      </c>
      <c r="M12" s="25" t="s">
        <v>56</v>
      </c>
      <c r="N12" s="25" t="s">
        <v>56</v>
      </c>
      <c r="O12" s="25" t="s">
        <v>56</v>
      </c>
      <c r="P12" s="25" t="s">
        <v>56</v>
      </c>
      <c r="Q12" s="25" t="s">
        <v>56</v>
      </c>
      <c r="R12" s="25" t="s">
        <v>56</v>
      </c>
      <c r="S12" s="25" t="s">
        <v>56</v>
      </c>
    </row>
    <row r="13" ht="22" customHeight="1" spans="1:19" x14ac:dyDescent="0.25">
      <c r="A13" s="24" t="s">
        <v>56</v>
      </c>
      <c r="B13" s="25" t="s">
        <v>56</v>
      </c>
      <c r="C13" s="25" t="s">
        <v>56</v>
      </c>
      <c r="D13" s="26" t="s">
        <v>56</v>
      </c>
      <c r="E13" s="25" t="s">
        <v>56</v>
      </c>
      <c r="F13" s="25" t="s">
        <v>56</v>
      </c>
      <c r="G13" s="25" t="s">
        <v>56</v>
      </c>
      <c r="H13" s="25" t="s">
        <v>56</v>
      </c>
      <c r="I13" s="25" t="s">
        <v>56</v>
      </c>
      <c r="J13" s="25" t="s">
        <v>56</v>
      </c>
      <c r="K13" s="25" t="s">
        <v>56</v>
      </c>
      <c r="L13" s="25" t="s">
        <v>56</v>
      </c>
      <c r="M13" s="25" t="s">
        <v>56</v>
      </c>
      <c r="N13" s="25" t="s">
        <v>56</v>
      </c>
      <c r="O13" s="25" t="s">
        <v>56</v>
      </c>
      <c r="P13" s="25" t="s">
        <v>56</v>
      </c>
      <c r="Q13" s="25" t="s">
        <v>56</v>
      </c>
      <c r="R13" s="25" t="s">
        <v>56</v>
      </c>
      <c r="S13" s="25" t="s">
        <v>56</v>
      </c>
    </row>
    <row r="14" ht="22" customHeight="1" spans="1:19" x14ac:dyDescent="0.25">
      <c r="A14" s="24" t="s">
        <v>56</v>
      </c>
      <c r="B14" s="25" t="s">
        <v>56</v>
      </c>
      <c r="C14" s="25" t="s">
        <v>56</v>
      </c>
      <c r="D14" s="26" t="s">
        <v>56</v>
      </c>
      <c r="E14" s="25" t="s">
        <v>56</v>
      </c>
      <c r="F14" s="25" t="s">
        <v>56</v>
      </c>
      <c r="G14" s="25" t="s">
        <v>56</v>
      </c>
      <c r="H14" s="25" t="s">
        <v>56</v>
      </c>
      <c r="I14" s="25" t="s">
        <v>56</v>
      </c>
      <c r="J14" s="25" t="s">
        <v>56</v>
      </c>
      <c r="K14" s="25" t="s">
        <v>56</v>
      </c>
      <c r="L14" s="25" t="s">
        <v>56</v>
      </c>
      <c r="M14" s="25" t="s">
        <v>56</v>
      </c>
      <c r="N14" s="25" t="s">
        <v>56</v>
      </c>
      <c r="O14" s="25" t="s">
        <v>56</v>
      </c>
      <c r="P14" s="25" t="s">
        <v>56</v>
      </c>
      <c r="Q14" s="25" t="s">
        <v>56</v>
      </c>
      <c r="R14" s="25" t="s">
        <v>56</v>
      </c>
      <c r="S14" s="25" t="s">
        <v>56</v>
      </c>
    </row>
    <row r="15" ht="22" customHeight="1" spans="1:19" x14ac:dyDescent="0.25">
      <c r="A15" s="24" t="s">
        <v>56</v>
      </c>
      <c r="B15" s="25" t="s">
        <v>56</v>
      </c>
      <c r="C15" s="25" t="s">
        <v>56</v>
      </c>
      <c r="D15" s="26" t="s">
        <v>56</v>
      </c>
      <c r="E15" s="25" t="s">
        <v>56</v>
      </c>
      <c r="F15" s="25" t="s">
        <v>56</v>
      </c>
      <c r="G15" s="25" t="s">
        <v>56</v>
      </c>
      <c r="H15" s="25" t="s">
        <v>56</v>
      </c>
      <c r="I15" s="25" t="s">
        <v>56</v>
      </c>
      <c r="J15" s="25" t="s">
        <v>56</v>
      </c>
      <c r="K15" s="25" t="s">
        <v>56</v>
      </c>
      <c r="L15" s="25" t="s">
        <v>56</v>
      </c>
      <c r="M15" s="25" t="s">
        <v>56</v>
      </c>
      <c r="N15" s="25" t="s">
        <v>56</v>
      </c>
      <c r="O15" s="25" t="s">
        <v>56</v>
      </c>
      <c r="P15" s="25" t="s">
        <v>56</v>
      </c>
      <c r="Q15" s="25" t="s">
        <v>56</v>
      </c>
      <c r="R15" s="25" t="s">
        <v>56</v>
      </c>
      <c r="S15" s="25" t="s">
        <v>56</v>
      </c>
    </row>
    <row r="16" ht="22" customHeight="1" spans="1:19" x14ac:dyDescent="0.25">
      <c r="A16" s="24" t="s">
        <v>56</v>
      </c>
      <c r="B16" s="25" t="s">
        <v>56</v>
      </c>
      <c r="C16" s="25" t="s">
        <v>56</v>
      </c>
      <c r="D16" s="26" t="s">
        <v>56</v>
      </c>
      <c r="E16" s="25" t="s">
        <v>56</v>
      </c>
      <c r="F16" s="25" t="s">
        <v>56</v>
      </c>
      <c r="G16" s="25" t="s">
        <v>56</v>
      </c>
      <c r="H16" s="25" t="s">
        <v>56</v>
      </c>
      <c r="I16" s="25" t="s">
        <v>56</v>
      </c>
      <c r="J16" s="25" t="s">
        <v>56</v>
      </c>
      <c r="K16" s="25" t="s">
        <v>56</v>
      </c>
      <c r="L16" s="25" t="s">
        <v>56</v>
      </c>
      <c r="M16" s="25" t="s">
        <v>56</v>
      </c>
      <c r="N16" s="25" t="s">
        <v>56</v>
      </c>
      <c r="O16" s="25" t="s">
        <v>56</v>
      </c>
      <c r="P16" s="25" t="s">
        <v>56</v>
      </c>
      <c r="Q16" s="25" t="s">
        <v>56</v>
      </c>
      <c r="R16" s="25" t="s">
        <v>56</v>
      </c>
      <c r="S16" s="25" t="s">
        <v>56</v>
      </c>
    </row>
    <row r="17" ht="22" customHeight="1" spans="1:19" x14ac:dyDescent="0.25">
      <c r="A17" s="24" t="s">
        <v>56</v>
      </c>
      <c r="B17" s="25" t="s">
        <v>56</v>
      </c>
      <c r="C17" s="25" t="s">
        <v>56</v>
      </c>
      <c r="D17" s="26" t="s">
        <v>56</v>
      </c>
      <c r="E17" s="25" t="s">
        <v>56</v>
      </c>
      <c r="F17" s="25" t="s">
        <v>56</v>
      </c>
      <c r="G17" s="25" t="s">
        <v>56</v>
      </c>
      <c r="H17" s="25" t="s">
        <v>56</v>
      </c>
      <c r="I17" s="25" t="s">
        <v>56</v>
      </c>
      <c r="J17" s="25" t="s">
        <v>56</v>
      </c>
      <c r="K17" s="25" t="s">
        <v>56</v>
      </c>
      <c r="L17" s="25" t="s">
        <v>56</v>
      </c>
      <c r="M17" s="25" t="s">
        <v>56</v>
      </c>
      <c r="N17" s="25" t="s">
        <v>56</v>
      </c>
      <c r="O17" s="25" t="s">
        <v>56</v>
      </c>
      <c r="P17" s="25" t="s">
        <v>56</v>
      </c>
      <c r="Q17" s="25" t="s">
        <v>56</v>
      </c>
      <c r="R17" s="25" t="s">
        <v>56</v>
      </c>
      <c r="S17" s="25" t="s">
        <v>56</v>
      </c>
    </row>
    <row r="18" ht="22" customHeight="1" spans="1:19" x14ac:dyDescent="0.25">
      <c r="A18" s="24" t="s">
        <v>56</v>
      </c>
      <c r="B18" s="25" t="s">
        <v>56</v>
      </c>
      <c r="C18" s="25" t="s">
        <v>56</v>
      </c>
      <c r="D18" s="26" t="s">
        <v>56</v>
      </c>
      <c r="E18" s="25" t="s">
        <v>56</v>
      </c>
      <c r="F18" s="25" t="s">
        <v>56</v>
      </c>
      <c r="G18" s="25" t="s">
        <v>56</v>
      </c>
      <c r="H18" s="25" t="s">
        <v>56</v>
      </c>
      <c r="I18" s="25" t="s">
        <v>56</v>
      </c>
      <c r="J18" s="25" t="s">
        <v>56</v>
      </c>
      <c r="K18" s="25" t="s">
        <v>56</v>
      </c>
      <c r="L18" s="25" t="s">
        <v>56</v>
      </c>
      <c r="M18" s="25" t="s">
        <v>56</v>
      </c>
      <c r="N18" s="25" t="s">
        <v>56</v>
      </c>
      <c r="O18" s="25" t="s">
        <v>56</v>
      </c>
      <c r="P18" s="25" t="s">
        <v>56</v>
      </c>
      <c r="Q18" s="25" t="s">
        <v>56</v>
      </c>
      <c r="R18" s="25" t="s">
        <v>56</v>
      </c>
      <c r="S18" s="25" t="s">
        <v>56</v>
      </c>
    </row>
    <row r="19" ht="22" customHeight="1" spans="1:19" x14ac:dyDescent="0.25">
      <c r="A19" s="24" t="s">
        <v>56</v>
      </c>
      <c r="B19" s="25" t="s">
        <v>56</v>
      </c>
      <c r="C19" s="25" t="s">
        <v>56</v>
      </c>
      <c r="D19" s="26" t="s">
        <v>56</v>
      </c>
      <c r="E19" s="25" t="s">
        <v>56</v>
      </c>
      <c r="F19" s="25" t="s">
        <v>56</v>
      </c>
      <c r="G19" s="25" t="s">
        <v>56</v>
      </c>
      <c r="H19" s="25" t="s">
        <v>56</v>
      </c>
      <c r="I19" s="25" t="s">
        <v>56</v>
      </c>
      <c r="J19" s="25" t="s">
        <v>56</v>
      </c>
      <c r="K19" s="25" t="s">
        <v>56</v>
      </c>
      <c r="L19" s="25" t="s">
        <v>56</v>
      </c>
      <c r="M19" s="25" t="s">
        <v>56</v>
      </c>
      <c r="N19" s="25" t="s">
        <v>56</v>
      </c>
      <c r="O19" s="25" t="s">
        <v>56</v>
      </c>
      <c r="P19" s="25" t="s">
        <v>56</v>
      </c>
      <c r="Q19" s="25" t="s">
        <v>56</v>
      </c>
      <c r="R19" s="25" t="s">
        <v>56</v>
      </c>
      <c r="S19" s="25" t="s">
        <v>56</v>
      </c>
    </row>
    <row r="20" ht="22" customHeight="1" spans="1:19" x14ac:dyDescent="0.25">
      <c r="A20" s="24" t="s">
        <v>56</v>
      </c>
      <c r="B20" s="25" t="s">
        <v>56</v>
      </c>
      <c r="C20" s="25" t="s">
        <v>56</v>
      </c>
      <c r="D20" s="26" t="s">
        <v>56</v>
      </c>
      <c r="E20" s="25" t="s">
        <v>56</v>
      </c>
      <c r="F20" s="25" t="s">
        <v>56</v>
      </c>
      <c r="G20" s="25" t="s">
        <v>56</v>
      </c>
      <c r="H20" s="25" t="s">
        <v>56</v>
      </c>
      <c r="I20" s="25" t="s">
        <v>56</v>
      </c>
      <c r="J20" s="25" t="s">
        <v>56</v>
      </c>
      <c r="K20" s="25" t="s">
        <v>56</v>
      </c>
      <c r="L20" s="25" t="s">
        <v>56</v>
      </c>
      <c r="M20" s="25" t="s">
        <v>56</v>
      </c>
      <c r="N20" s="25" t="s">
        <v>56</v>
      </c>
      <c r="O20" s="25" t="s">
        <v>56</v>
      </c>
      <c r="P20" s="25" t="s">
        <v>56</v>
      </c>
      <c r="Q20" s="25" t="s">
        <v>56</v>
      </c>
      <c r="R20" s="25" t="s">
        <v>56</v>
      </c>
      <c r="S20" s="25" t="s">
        <v>56</v>
      </c>
    </row>
    <row r="21" ht="22" customHeight="1" spans="1:19" x14ac:dyDescent="0.25">
      <c r="A21" s="24" t="s">
        <v>56</v>
      </c>
      <c r="B21" s="25" t="s">
        <v>56</v>
      </c>
      <c r="C21" s="25" t="s">
        <v>56</v>
      </c>
      <c r="D21" s="26" t="s">
        <v>56</v>
      </c>
      <c r="E21" s="25" t="s">
        <v>56</v>
      </c>
      <c r="F21" s="25" t="s">
        <v>56</v>
      </c>
      <c r="G21" s="25" t="s">
        <v>56</v>
      </c>
      <c r="H21" s="25" t="s">
        <v>56</v>
      </c>
      <c r="I21" s="25" t="s">
        <v>56</v>
      </c>
      <c r="J21" s="25" t="s">
        <v>56</v>
      </c>
      <c r="K21" s="25" t="s">
        <v>56</v>
      </c>
      <c r="L21" s="25" t="s">
        <v>56</v>
      </c>
      <c r="M21" s="25" t="s">
        <v>56</v>
      </c>
      <c r="N21" s="25" t="s">
        <v>56</v>
      </c>
      <c r="O21" s="25" t="s">
        <v>56</v>
      </c>
      <c r="P21" s="25" t="s">
        <v>56</v>
      </c>
      <c r="Q21" s="25" t="s">
        <v>56</v>
      </c>
      <c r="R21" s="25" t="s">
        <v>56</v>
      </c>
      <c r="S21" s="25" t="s">
        <v>56</v>
      </c>
    </row>
    <row r="22" ht="22" customHeight="1" spans="1:19" x14ac:dyDescent="0.25">
      <c r="A22" s="24" t="s">
        <v>56</v>
      </c>
      <c r="B22" s="25" t="s">
        <v>56</v>
      </c>
      <c r="C22" s="25" t="s">
        <v>56</v>
      </c>
      <c r="D22" s="26" t="s">
        <v>56</v>
      </c>
      <c r="E22" s="25" t="s">
        <v>56</v>
      </c>
      <c r="F22" s="25" t="s">
        <v>56</v>
      </c>
      <c r="G22" s="25" t="s">
        <v>56</v>
      </c>
      <c r="H22" s="25" t="s">
        <v>56</v>
      </c>
      <c r="I22" s="25" t="s">
        <v>56</v>
      </c>
      <c r="J22" s="25" t="s">
        <v>56</v>
      </c>
      <c r="K22" s="25" t="s">
        <v>56</v>
      </c>
      <c r="L22" s="25" t="s">
        <v>56</v>
      </c>
      <c r="M22" s="25" t="s">
        <v>56</v>
      </c>
      <c r="N22" s="25" t="s">
        <v>56</v>
      </c>
      <c r="O22" s="25" t="s">
        <v>56</v>
      </c>
      <c r="P22" s="25" t="s">
        <v>56</v>
      </c>
      <c r="Q22" s="25" t="s">
        <v>56</v>
      </c>
      <c r="R22" s="25" t="s">
        <v>56</v>
      </c>
      <c r="S22" s="25" t="s">
        <v>56</v>
      </c>
    </row>
    <row r="23" ht="22" customHeight="1" spans="1:19" x14ac:dyDescent="0.25">
      <c r="A23" s="24" t="s">
        <v>56</v>
      </c>
      <c r="B23" s="25" t="s">
        <v>56</v>
      </c>
      <c r="C23" s="25" t="s">
        <v>56</v>
      </c>
      <c r="D23" s="26" t="s">
        <v>56</v>
      </c>
      <c r="E23" s="25" t="s">
        <v>56</v>
      </c>
      <c r="F23" s="25" t="s">
        <v>56</v>
      </c>
      <c r="G23" s="25" t="s">
        <v>56</v>
      </c>
      <c r="H23" s="25" t="s">
        <v>56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56</v>
      </c>
      <c r="Q23" s="25" t="s">
        <v>56</v>
      </c>
      <c r="R23" s="25" t="s">
        <v>56</v>
      </c>
      <c r="S23" s="25" t="s">
        <v>56</v>
      </c>
    </row>
    <row r="24" ht="22" customHeight="1" spans="1:19" x14ac:dyDescent="0.25">
      <c r="A24" s="24" t="s">
        <v>56</v>
      </c>
      <c r="B24" s="25" t="s">
        <v>56</v>
      </c>
      <c r="C24" s="25" t="s">
        <v>56</v>
      </c>
      <c r="D24" s="26" t="s">
        <v>56</v>
      </c>
      <c r="E24" s="25" t="s">
        <v>56</v>
      </c>
      <c r="F24" s="25" t="s">
        <v>56</v>
      </c>
      <c r="G24" s="25" t="s">
        <v>56</v>
      </c>
      <c r="H24" s="25" t="s">
        <v>56</v>
      </c>
      <c r="I24" s="25" t="s">
        <v>56</v>
      </c>
      <c r="J24" s="25" t="s">
        <v>56</v>
      </c>
      <c r="K24" s="25" t="s">
        <v>56</v>
      </c>
      <c r="L24" s="25" t="s">
        <v>56</v>
      </c>
      <c r="M24" s="25" t="s">
        <v>56</v>
      </c>
      <c r="N24" s="25" t="s">
        <v>56</v>
      </c>
      <c r="O24" s="25" t="s">
        <v>56</v>
      </c>
      <c r="P24" s="25" t="s">
        <v>56</v>
      </c>
      <c r="Q24" s="25" t="s">
        <v>56</v>
      </c>
      <c r="R24" s="25" t="s">
        <v>56</v>
      </c>
      <c r="S24" s="25" t="s">
        <v>56</v>
      </c>
    </row>
    <row r="25" ht="22" customHeight="1" spans="1:19" x14ac:dyDescent="0.25">
      <c r="A25" s="24" t="s">
        <v>56</v>
      </c>
      <c r="B25" s="25" t="s">
        <v>56</v>
      </c>
      <c r="C25" s="25" t="s">
        <v>56</v>
      </c>
      <c r="D25" s="26" t="s">
        <v>56</v>
      </c>
      <c r="E25" s="25" t="s">
        <v>56</v>
      </c>
      <c r="F25" s="25" t="s">
        <v>56</v>
      </c>
      <c r="G25" s="25" t="s">
        <v>56</v>
      </c>
      <c r="H25" s="25" t="s">
        <v>56</v>
      </c>
      <c r="I25" s="25" t="s">
        <v>56</v>
      </c>
      <c r="J25" s="25" t="s">
        <v>56</v>
      </c>
      <c r="K25" s="25" t="s">
        <v>56</v>
      </c>
      <c r="L25" s="25" t="s">
        <v>56</v>
      </c>
      <c r="M25" s="25" t="s">
        <v>56</v>
      </c>
      <c r="N25" s="25" t="s">
        <v>56</v>
      </c>
      <c r="O25" s="25" t="s">
        <v>56</v>
      </c>
      <c r="P25" s="25" t="s">
        <v>56</v>
      </c>
      <c r="Q25" s="25" t="s">
        <v>56</v>
      </c>
      <c r="R25" s="25" t="s">
        <v>56</v>
      </c>
      <c r="S25" s="25" t="s">
        <v>56</v>
      </c>
    </row>
    <row r="26" ht="22" customHeight="1" spans="1:19" x14ac:dyDescent="0.25">
      <c r="A26" s="24" t="s">
        <v>56</v>
      </c>
      <c r="B26" s="25" t="s">
        <v>56</v>
      </c>
      <c r="C26" s="25" t="s">
        <v>56</v>
      </c>
      <c r="D26" s="26" t="s">
        <v>56</v>
      </c>
      <c r="E26" s="25" t="s">
        <v>56</v>
      </c>
      <c r="F26" s="25" t="s">
        <v>56</v>
      </c>
      <c r="G26" s="25" t="s">
        <v>56</v>
      </c>
      <c r="H26" s="25" t="s">
        <v>56</v>
      </c>
      <c r="I26" s="25" t="s">
        <v>56</v>
      </c>
      <c r="J26" s="25" t="s">
        <v>56</v>
      </c>
      <c r="K26" s="25" t="s">
        <v>56</v>
      </c>
      <c r="L26" s="25" t="s">
        <v>56</v>
      </c>
      <c r="M26" s="25" t="s">
        <v>56</v>
      </c>
      <c r="N26" s="25" t="s">
        <v>56</v>
      </c>
      <c r="O26" s="25" t="s">
        <v>56</v>
      </c>
      <c r="P26" s="25" t="s">
        <v>56</v>
      </c>
      <c r="Q26" s="25" t="s">
        <v>56</v>
      </c>
      <c r="R26" s="25" t="s">
        <v>56</v>
      </c>
      <c r="S26" s="25" t="s">
        <v>56</v>
      </c>
    </row>
    <row r="27" ht="22" customHeight="1" spans="1:19" x14ac:dyDescent="0.25">
      <c r="A27" s="24" t="s">
        <v>56</v>
      </c>
      <c r="B27" s="25" t="s">
        <v>56</v>
      </c>
      <c r="C27" s="25" t="s">
        <v>56</v>
      </c>
      <c r="D27" s="26" t="s">
        <v>56</v>
      </c>
      <c r="E27" s="25" t="s">
        <v>56</v>
      </c>
      <c r="F27" s="25" t="s">
        <v>56</v>
      </c>
      <c r="G27" s="25" t="s">
        <v>56</v>
      </c>
      <c r="H27" s="25" t="s">
        <v>56</v>
      </c>
      <c r="I27" s="25" t="s">
        <v>56</v>
      </c>
      <c r="J27" s="25" t="s">
        <v>56</v>
      </c>
      <c r="K27" s="25" t="s">
        <v>56</v>
      </c>
      <c r="L27" s="25" t="s">
        <v>56</v>
      </c>
      <c r="M27" s="25" t="s">
        <v>56</v>
      </c>
      <c r="N27" s="25" t="s">
        <v>56</v>
      </c>
      <c r="O27" s="25" t="s">
        <v>56</v>
      </c>
      <c r="P27" s="25" t="s">
        <v>56</v>
      </c>
      <c r="Q27" s="25" t="s">
        <v>56</v>
      </c>
      <c r="R27" s="25" t="s">
        <v>56</v>
      </c>
      <c r="S27" s="25" t="s">
        <v>56</v>
      </c>
    </row>
    <row r="28" ht="22" customHeight="1" spans="1:19" x14ac:dyDescent="0.25">
      <c r="A28" s="24" t="s">
        <v>56</v>
      </c>
      <c r="B28" s="25" t="s">
        <v>56</v>
      </c>
      <c r="C28" s="25" t="s">
        <v>56</v>
      </c>
      <c r="D28" s="26" t="s">
        <v>56</v>
      </c>
      <c r="E28" s="25" t="s">
        <v>56</v>
      </c>
      <c r="F28" s="25" t="s">
        <v>56</v>
      </c>
      <c r="G28" s="25" t="s">
        <v>56</v>
      </c>
      <c r="H28" s="25" t="s">
        <v>56</v>
      </c>
      <c r="I28" s="25" t="s">
        <v>56</v>
      </c>
      <c r="J28" s="25" t="s">
        <v>56</v>
      </c>
      <c r="K28" s="25" t="s">
        <v>56</v>
      </c>
      <c r="L28" s="25" t="s">
        <v>56</v>
      </c>
      <c r="M28" s="25" t="s">
        <v>56</v>
      </c>
      <c r="N28" s="25" t="s">
        <v>56</v>
      </c>
      <c r="O28" s="25" t="s">
        <v>56</v>
      </c>
      <c r="P28" s="25" t="s">
        <v>56</v>
      </c>
      <c r="Q28" s="25" t="s">
        <v>56</v>
      </c>
      <c r="R28" s="25" t="s">
        <v>56</v>
      </c>
      <c r="S28" s="25" t="s">
        <v>56</v>
      </c>
    </row>
    <row r="29" ht="22" customHeight="1" spans="1:19" x14ac:dyDescent="0.25">
      <c r="A29" s="24" t="s">
        <v>56</v>
      </c>
      <c r="B29" s="25" t="s">
        <v>56</v>
      </c>
      <c r="C29" s="25" t="s">
        <v>56</v>
      </c>
      <c r="D29" s="26" t="s">
        <v>56</v>
      </c>
      <c r="E29" s="25" t="s">
        <v>56</v>
      </c>
      <c r="F29" s="25" t="s">
        <v>56</v>
      </c>
      <c r="G29" s="25" t="s">
        <v>56</v>
      </c>
      <c r="H29" s="25" t="s">
        <v>56</v>
      </c>
      <c r="I29" s="25" t="s">
        <v>56</v>
      </c>
      <c r="J29" s="25" t="s">
        <v>56</v>
      </c>
      <c r="K29" s="25" t="s">
        <v>56</v>
      </c>
      <c r="L29" s="25" t="s">
        <v>56</v>
      </c>
      <c r="M29" s="25" t="s">
        <v>56</v>
      </c>
      <c r="N29" s="25" t="s">
        <v>56</v>
      </c>
      <c r="O29" s="25" t="s">
        <v>56</v>
      </c>
      <c r="P29" s="25" t="s">
        <v>56</v>
      </c>
      <c r="Q29" s="25" t="s">
        <v>56</v>
      </c>
      <c r="R29" s="25" t="s">
        <v>56</v>
      </c>
      <c r="S29" s="25" t="s">
        <v>56</v>
      </c>
    </row>
    <row r="30" ht="22" customHeight="1" spans="1:19" x14ac:dyDescent="0.25">
      <c r="A30" s="24" t="s">
        <v>56</v>
      </c>
      <c r="B30" s="25" t="s">
        <v>56</v>
      </c>
      <c r="C30" s="25" t="s">
        <v>56</v>
      </c>
      <c r="D30" s="26" t="s">
        <v>56</v>
      </c>
      <c r="E30" s="25" t="s">
        <v>56</v>
      </c>
      <c r="F30" s="25" t="s">
        <v>56</v>
      </c>
      <c r="G30" s="25" t="s">
        <v>56</v>
      </c>
      <c r="H30" s="25" t="s">
        <v>56</v>
      </c>
      <c r="I30" s="25" t="s">
        <v>56</v>
      </c>
      <c r="J30" s="25" t="s">
        <v>56</v>
      </c>
      <c r="K30" s="25" t="s">
        <v>56</v>
      </c>
      <c r="L30" s="25" t="s">
        <v>56</v>
      </c>
      <c r="M30" s="25" t="s">
        <v>56</v>
      </c>
      <c r="N30" s="25" t="s">
        <v>56</v>
      </c>
      <c r="O30" s="25" t="s">
        <v>56</v>
      </c>
      <c r="P30" s="25" t="s">
        <v>56</v>
      </c>
      <c r="Q30" s="25" t="s">
        <v>56</v>
      </c>
      <c r="R30" s="25" t="s">
        <v>56</v>
      </c>
      <c r="S30" s="25" t="s">
        <v>56</v>
      </c>
    </row>
    <row r="31" ht="22" customHeight="1" spans="1:19" x14ac:dyDescent="0.25">
      <c r="A31" s="24" t="s">
        <v>56</v>
      </c>
      <c r="B31" s="25" t="s">
        <v>56</v>
      </c>
      <c r="C31" s="25" t="s">
        <v>56</v>
      </c>
      <c r="D31" s="26" t="s">
        <v>56</v>
      </c>
      <c r="E31" s="25" t="s">
        <v>56</v>
      </c>
      <c r="F31" s="25" t="s">
        <v>56</v>
      </c>
      <c r="G31" s="25" t="s">
        <v>56</v>
      </c>
      <c r="H31" s="25" t="s">
        <v>56</v>
      </c>
      <c r="I31" s="25" t="s">
        <v>56</v>
      </c>
      <c r="J31" s="25" t="s">
        <v>56</v>
      </c>
      <c r="K31" s="25" t="s">
        <v>56</v>
      </c>
      <c r="L31" s="25" t="s">
        <v>56</v>
      </c>
      <c r="M31" s="25" t="s">
        <v>56</v>
      </c>
      <c r="N31" s="25" t="s">
        <v>56</v>
      </c>
      <c r="O31" s="25" t="s">
        <v>56</v>
      </c>
      <c r="P31" s="25" t="s">
        <v>56</v>
      </c>
      <c r="Q31" s="25" t="s">
        <v>56</v>
      </c>
      <c r="R31" s="25" t="s">
        <v>56</v>
      </c>
      <c r="S31" s="25" t="s">
        <v>56</v>
      </c>
    </row>
    <row r="32" ht="22" customHeight="1" spans="1:19" x14ac:dyDescent="0.25">
      <c r="A32" s="24" t="s">
        <v>56</v>
      </c>
      <c r="B32" s="25" t="s">
        <v>56</v>
      </c>
      <c r="C32" s="25" t="s">
        <v>56</v>
      </c>
      <c r="D32" s="26" t="s">
        <v>56</v>
      </c>
      <c r="E32" s="25" t="s">
        <v>56</v>
      </c>
      <c r="F32" s="25" t="s">
        <v>56</v>
      </c>
      <c r="G32" s="25" t="s">
        <v>56</v>
      </c>
      <c r="H32" s="25" t="s">
        <v>56</v>
      </c>
      <c r="I32" s="25" t="s">
        <v>56</v>
      </c>
      <c r="J32" s="25" t="s">
        <v>56</v>
      </c>
      <c r="K32" s="25" t="s">
        <v>56</v>
      </c>
      <c r="L32" s="25" t="s">
        <v>56</v>
      </c>
      <c r="M32" s="25" t="s">
        <v>56</v>
      </c>
      <c r="N32" s="25" t="s">
        <v>56</v>
      </c>
      <c r="O32" s="25" t="s">
        <v>56</v>
      </c>
      <c r="P32" s="25" t="s">
        <v>56</v>
      </c>
      <c r="Q32" s="25" t="s">
        <v>56</v>
      </c>
      <c r="R32" s="25" t="s">
        <v>56</v>
      </c>
      <c r="S32" s="25" t="s">
        <v>56</v>
      </c>
    </row>
    <row r="33" ht="22" customHeight="1" spans="1:19" x14ac:dyDescent="0.25">
      <c r="A33" s="24" t="s">
        <v>56</v>
      </c>
      <c r="B33" s="25" t="s">
        <v>56</v>
      </c>
      <c r="C33" s="25" t="s">
        <v>56</v>
      </c>
      <c r="D33" s="26" t="s">
        <v>56</v>
      </c>
      <c r="E33" s="25" t="s">
        <v>56</v>
      </c>
      <c r="F33" s="25" t="s">
        <v>56</v>
      </c>
      <c r="G33" s="25" t="s">
        <v>56</v>
      </c>
      <c r="H33" s="25" t="s">
        <v>56</v>
      </c>
      <c r="I33" s="25" t="s">
        <v>56</v>
      </c>
      <c r="J33" s="25" t="s">
        <v>56</v>
      </c>
      <c r="K33" s="25" t="s">
        <v>56</v>
      </c>
      <c r="L33" s="25" t="s">
        <v>56</v>
      </c>
      <c r="M33" s="25" t="s">
        <v>56</v>
      </c>
      <c r="N33" s="25" t="s">
        <v>56</v>
      </c>
      <c r="O33" s="25" t="s">
        <v>56</v>
      </c>
      <c r="P33" s="25" t="s">
        <v>56</v>
      </c>
      <c r="Q33" s="25" t="s">
        <v>56</v>
      </c>
      <c r="R33" s="25" t="s">
        <v>56</v>
      </c>
      <c r="S33" s="25" t="s">
        <v>56</v>
      </c>
    </row>
    <row r="34" ht="22" customHeight="1" spans="1:19" x14ac:dyDescent="0.25">
      <c r="A34" s="24" t="s">
        <v>56</v>
      </c>
      <c r="B34" s="25" t="s">
        <v>56</v>
      </c>
      <c r="C34" s="25" t="s">
        <v>56</v>
      </c>
      <c r="D34" s="26" t="s">
        <v>56</v>
      </c>
      <c r="E34" s="25" t="s">
        <v>56</v>
      </c>
      <c r="F34" s="25" t="s">
        <v>56</v>
      </c>
      <c r="G34" s="25" t="s">
        <v>56</v>
      </c>
      <c r="H34" s="25" t="s">
        <v>56</v>
      </c>
      <c r="I34" s="25" t="s">
        <v>56</v>
      </c>
      <c r="J34" s="25" t="s">
        <v>56</v>
      </c>
      <c r="K34" s="25" t="s">
        <v>56</v>
      </c>
      <c r="L34" s="25" t="s">
        <v>56</v>
      </c>
      <c r="M34" s="25" t="s">
        <v>56</v>
      </c>
      <c r="N34" s="25" t="s">
        <v>56</v>
      </c>
      <c r="O34" s="25" t="s">
        <v>56</v>
      </c>
      <c r="P34" s="25" t="s">
        <v>56</v>
      </c>
      <c r="Q34" s="25" t="s">
        <v>56</v>
      </c>
      <c r="R34" s="25" t="s">
        <v>56</v>
      </c>
      <c r="S34" s="25" t="s">
        <v>56</v>
      </c>
    </row>
    <row r="35" ht="22" customHeight="1" spans="1:19" x14ac:dyDescent="0.25">
      <c r="A35" s="24" t="s">
        <v>56</v>
      </c>
      <c r="B35" s="25" t="s">
        <v>56</v>
      </c>
      <c r="C35" s="25" t="s">
        <v>56</v>
      </c>
      <c r="D35" s="26" t="s">
        <v>56</v>
      </c>
      <c r="E35" s="25" t="s">
        <v>56</v>
      </c>
      <c r="F35" s="25" t="s">
        <v>56</v>
      </c>
      <c r="G35" s="25" t="s">
        <v>56</v>
      </c>
      <c r="H35" s="25" t="s">
        <v>56</v>
      </c>
      <c r="I35" s="25" t="s">
        <v>56</v>
      </c>
      <c r="J35" s="25" t="s">
        <v>56</v>
      </c>
      <c r="K35" s="25" t="s">
        <v>56</v>
      </c>
      <c r="L35" s="25" t="s">
        <v>56</v>
      </c>
      <c r="M35" s="25" t="s">
        <v>56</v>
      </c>
      <c r="N35" s="25" t="s">
        <v>56</v>
      </c>
      <c r="O35" s="25" t="s">
        <v>56</v>
      </c>
      <c r="P35" s="25" t="s">
        <v>56</v>
      </c>
      <c r="Q35" s="25" t="s">
        <v>56</v>
      </c>
      <c r="R35" s="25" t="s">
        <v>56</v>
      </c>
      <c r="S35" s="25" t="s">
        <v>56</v>
      </c>
    </row>
    <row r="36" ht="22" customHeight="1" spans="1:19" x14ac:dyDescent="0.25">
      <c r="A36" s="24" t="s">
        <v>56</v>
      </c>
      <c r="B36" s="25" t="s">
        <v>56</v>
      </c>
      <c r="C36" s="25" t="s">
        <v>56</v>
      </c>
      <c r="D36" s="26" t="s">
        <v>56</v>
      </c>
      <c r="E36" s="25" t="s">
        <v>56</v>
      </c>
      <c r="F36" s="25" t="s">
        <v>56</v>
      </c>
      <c r="G36" s="25" t="s">
        <v>56</v>
      </c>
      <c r="H36" s="25" t="s">
        <v>56</v>
      </c>
      <c r="I36" s="25" t="s">
        <v>56</v>
      </c>
      <c r="J36" s="25" t="s">
        <v>56</v>
      </c>
      <c r="K36" s="25" t="s">
        <v>56</v>
      </c>
      <c r="L36" s="25" t="s">
        <v>56</v>
      </c>
      <c r="M36" s="25" t="s">
        <v>56</v>
      </c>
      <c r="N36" s="25" t="s">
        <v>56</v>
      </c>
      <c r="O36" s="25" t="s">
        <v>56</v>
      </c>
      <c r="P36" s="25" t="s">
        <v>56</v>
      </c>
      <c r="Q36" s="25" t="s">
        <v>56</v>
      </c>
      <c r="R36" s="25" t="s">
        <v>56</v>
      </c>
      <c r="S36" s="25" t="s">
        <v>56</v>
      </c>
    </row>
    <row r="37" ht="22" customHeight="1" spans="1:19" x14ac:dyDescent="0.25">
      <c r="A37" s="24" t="s">
        <v>56</v>
      </c>
      <c r="B37" s="25" t="s">
        <v>56</v>
      </c>
      <c r="C37" s="25" t="s">
        <v>56</v>
      </c>
      <c r="D37" s="26" t="s">
        <v>56</v>
      </c>
      <c r="E37" s="25" t="s">
        <v>56</v>
      </c>
      <c r="F37" s="25" t="s">
        <v>56</v>
      </c>
      <c r="G37" s="25" t="s">
        <v>56</v>
      </c>
      <c r="H37" s="25" t="s">
        <v>56</v>
      </c>
      <c r="I37" s="25" t="s">
        <v>56</v>
      </c>
      <c r="J37" s="25" t="s">
        <v>56</v>
      </c>
      <c r="K37" s="25" t="s">
        <v>56</v>
      </c>
      <c r="L37" s="25" t="s">
        <v>56</v>
      </c>
      <c r="M37" s="25" t="s">
        <v>56</v>
      </c>
      <c r="N37" s="25" t="s">
        <v>56</v>
      </c>
      <c r="O37" s="25" t="s">
        <v>56</v>
      </c>
      <c r="P37" s="25" t="s">
        <v>56</v>
      </c>
      <c r="Q37" s="25" t="s">
        <v>56</v>
      </c>
      <c r="R37" s="25" t="s">
        <v>56</v>
      </c>
      <c r="S37" s="25" t="s">
        <v>56</v>
      </c>
    </row>
    <row r="38" ht="22" customHeight="1" spans="1:19" x14ac:dyDescent="0.25">
      <c r="A38" s="24" t="s">
        <v>56</v>
      </c>
      <c r="B38" s="25" t="s">
        <v>56</v>
      </c>
      <c r="C38" s="25" t="s">
        <v>56</v>
      </c>
      <c r="D38" s="26" t="s">
        <v>56</v>
      </c>
      <c r="E38" s="25" t="s">
        <v>56</v>
      </c>
      <c r="F38" s="25" t="s">
        <v>56</v>
      </c>
      <c r="G38" s="25" t="s">
        <v>56</v>
      </c>
      <c r="H38" s="25" t="s">
        <v>56</v>
      </c>
      <c r="I38" s="25" t="s">
        <v>56</v>
      </c>
      <c r="J38" s="25" t="s">
        <v>56</v>
      </c>
      <c r="K38" s="25" t="s">
        <v>56</v>
      </c>
      <c r="L38" s="25" t="s">
        <v>56</v>
      </c>
      <c r="M38" s="25" t="s">
        <v>56</v>
      </c>
      <c r="N38" s="25" t="s">
        <v>56</v>
      </c>
      <c r="O38" s="25" t="s">
        <v>56</v>
      </c>
      <c r="P38" s="25" t="s">
        <v>56</v>
      </c>
      <c r="Q38" s="25" t="s">
        <v>56</v>
      </c>
      <c r="R38" s="25" t="s">
        <v>56</v>
      </c>
      <c r="S38" s="25" t="s">
        <v>56</v>
      </c>
    </row>
    <row r="39" ht="22" customHeight="1" spans="1:19" x14ac:dyDescent="0.25">
      <c r="A39" s="24" t="s">
        <v>56</v>
      </c>
      <c r="B39" s="25" t="s">
        <v>56</v>
      </c>
      <c r="C39" s="25" t="s">
        <v>56</v>
      </c>
      <c r="D39" s="26" t="s">
        <v>56</v>
      </c>
      <c r="E39" s="25" t="s">
        <v>56</v>
      </c>
      <c r="F39" s="25" t="s">
        <v>56</v>
      </c>
      <c r="G39" s="25" t="s">
        <v>56</v>
      </c>
      <c r="H39" s="25" t="s">
        <v>56</v>
      </c>
      <c r="I39" s="25" t="s">
        <v>56</v>
      </c>
      <c r="J39" s="25" t="s">
        <v>56</v>
      </c>
      <c r="K39" s="25" t="s">
        <v>56</v>
      </c>
      <c r="L39" s="25" t="s">
        <v>56</v>
      </c>
      <c r="M39" s="25" t="s">
        <v>56</v>
      </c>
      <c r="N39" s="25" t="s">
        <v>56</v>
      </c>
      <c r="O39" s="25" t="s">
        <v>56</v>
      </c>
      <c r="P39" s="25" t="s">
        <v>56</v>
      </c>
      <c r="Q39" s="25" t="s">
        <v>56</v>
      </c>
      <c r="R39" s="25" t="s">
        <v>56</v>
      </c>
      <c r="S39" s="25" t="s">
        <v>56</v>
      </c>
    </row>
    <row r="40" ht="22" customHeight="1" spans="1:19" x14ac:dyDescent="0.25">
      <c r="A40" s="24" t="s">
        <v>56</v>
      </c>
      <c r="B40" s="25" t="s">
        <v>56</v>
      </c>
      <c r="C40" s="25" t="s">
        <v>56</v>
      </c>
      <c r="D40" s="26" t="s">
        <v>56</v>
      </c>
      <c r="E40" s="25" t="s">
        <v>56</v>
      </c>
      <c r="F40" s="25" t="s">
        <v>56</v>
      </c>
      <c r="G40" s="25" t="s">
        <v>56</v>
      </c>
      <c r="H40" s="25" t="s">
        <v>56</v>
      </c>
      <c r="I40" s="25" t="s">
        <v>56</v>
      </c>
      <c r="J40" s="25" t="s">
        <v>56</v>
      </c>
      <c r="K40" s="25" t="s">
        <v>56</v>
      </c>
      <c r="L40" s="25" t="s">
        <v>56</v>
      </c>
      <c r="M40" s="25" t="s">
        <v>56</v>
      </c>
      <c r="N40" s="25" t="s">
        <v>56</v>
      </c>
      <c r="O40" s="25" t="s">
        <v>56</v>
      </c>
      <c r="P40" s="25" t="s">
        <v>56</v>
      </c>
      <c r="Q40" s="25" t="s">
        <v>56</v>
      </c>
      <c r="R40" s="25" t="s">
        <v>56</v>
      </c>
      <c r="S40" s="25" t="s">
        <v>56</v>
      </c>
    </row>
    <row r="41" ht="22" customHeight="1" spans="1:19" x14ac:dyDescent="0.25">
      <c r="A41" s="24" t="s">
        <v>56</v>
      </c>
      <c r="B41" s="25" t="s">
        <v>56</v>
      </c>
      <c r="C41" s="25" t="s">
        <v>56</v>
      </c>
      <c r="D41" s="26" t="s">
        <v>56</v>
      </c>
      <c r="E41" s="25" t="s">
        <v>56</v>
      </c>
      <c r="F41" s="25" t="s">
        <v>56</v>
      </c>
      <c r="G41" s="25" t="s">
        <v>56</v>
      </c>
      <c r="H41" s="25" t="s">
        <v>56</v>
      </c>
      <c r="I41" s="25" t="s">
        <v>56</v>
      </c>
      <c r="J41" s="25" t="s">
        <v>56</v>
      </c>
      <c r="K41" s="25" t="s">
        <v>56</v>
      </c>
      <c r="L41" s="25" t="s">
        <v>56</v>
      </c>
      <c r="M41" s="25" t="s">
        <v>56</v>
      </c>
      <c r="N41" s="25" t="s">
        <v>56</v>
      </c>
      <c r="O41" s="25" t="s">
        <v>56</v>
      </c>
      <c r="P41" s="25" t="s">
        <v>56</v>
      </c>
      <c r="Q41" s="25" t="s">
        <v>56</v>
      </c>
      <c r="R41" s="25" t="s">
        <v>56</v>
      </c>
      <c r="S41" s="25" t="s">
        <v>56</v>
      </c>
    </row>
    <row r="42" ht="22" customHeight="1" spans="1:19" x14ac:dyDescent="0.25">
      <c r="A42" s="24" t="s">
        <v>56</v>
      </c>
      <c r="B42" s="25" t="s">
        <v>56</v>
      </c>
      <c r="C42" s="25" t="s">
        <v>56</v>
      </c>
      <c r="D42" s="26" t="s">
        <v>56</v>
      </c>
      <c r="E42" s="25" t="s">
        <v>56</v>
      </c>
      <c r="F42" s="25" t="s">
        <v>56</v>
      </c>
      <c r="G42" s="25" t="s">
        <v>56</v>
      </c>
      <c r="H42" s="25" t="s">
        <v>56</v>
      </c>
      <c r="I42" s="25" t="s">
        <v>56</v>
      </c>
      <c r="J42" s="25" t="s">
        <v>56</v>
      </c>
      <c r="K42" s="25" t="s">
        <v>56</v>
      </c>
      <c r="L42" s="25" t="s">
        <v>56</v>
      </c>
      <c r="M42" s="25" t="s">
        <v>56</v>
      </c>
      <c r="N42" s="25" t="s">
        <v>56</v>
      </c>
      <c r="O42" s="25" t="s">
        <v>56</v>
      </c>
      <c r="P42" s="25" t="s">
        <v>56</v>
      </c>
      <c r="Q42" s="25" t="s">
        <v>56</v>
      </c>
      <c r="R42" s="25" t="s">
        <v>56</v>
      </c>
      <c r="S42" s="25" t="s">
        <v>56</v>
      </c>
    </row>
    <row r="43" ht="22" customHeight="1" spans="1:19" x14ac:dyDescent="0.25">
      <c r="A43" s="24" t="s">
        <v>56</v>
      </c>
      <c r="B43" s="25" t="s">
        <v>56</v>
      </c>
      <c r="C43" s="25" t="s">
        <v>56</v>
      </c>
      <c r="D43" s="26" t="s">
        <v>56</v>
      </c>
      <c r="E43" s="25" t="s">
        <v>56</v>
      </c>
      <c r="F43" s="25" t="s">
        <v>56</v>
      </c>
      <c r="G43" s="25" t="s">
        <v>56</v>
      </c>
      <c r="H43" s="25" t="s">
        <v>56</v>
      </c>
      <c r="I43" s="25" t="s">
        <v>56</v>
      </c>
      <c r="J43" s="25" t="s">
        <v>56</v>
      </c>
      <c r="K43" s="25" t="s">
        <v>56</v>
      </c>
      <c r="L43" s="25" t="s">
        <v>56</v>
      </c>
      <c r="M43" s="25" t="s">
        <v>56</v>
      </c>
      <c r="N43" s="25" t="s">
        <v>56</v>
      </c>
      <c r="O43" s="25" t="s">
        <v>56</v>
      </c>
      <c r="P43" s="25" t="s">
        <v>56</v>
      </c>
      <c r="Q43" s="25" t="s">
        <v>56</v>
      </c>
      <c r="R43" s="25" t="s">
        <v>56</v>
      </c>
      <c r="S43" s="25" t="s">
        <v>56</v>
      </c>
    </row>
    <row r="44" ht="22" customHeight="1" spans="1:19" x14ac:dyDescent="0.25">
      <c r="A44" s="24" t="s">
        <v>56</v>
      </c>
      <c r="B44" s="25" t="s">
        <v>56</v>
      </c>
      <c r="C44" s="25" t="s">
        <v>56</v>
      </c>
      <c r="D44" s="26" t="s">
        <v>56</v>
      </c>
      <c r="E44" s="25" t="s">
        <v>56</v>
      </c>
      <c r="F44" s="25" t="s">
        <v>56</v>
      </c>
      <c r="G44" s="25" t="s">
        <v>56</v>
      </c>
      <c r="H44" s="25" t="s">
        <v>56</v>
      </c>
      <c r="I44" s="25" t="s">
        <v>56</v>
      </c>
      <c r="J44" s="25" t="s">
        <v>56</v>
      </c>
      <c r="K44" s="25" t="s">
        <v>56</v>
      </c>
      <c r="L44" s="25" t="s">
        <v>56</v>
      </c>
      <c r="M44" s="25" t="s">
        <v>56</v>
      </c>
      <c r="N44" s="25" t="s">
        <v>56</v>
      </c>
      <c r="O44" s="25" t="s">
        <v>56</v>
      </c>
      <c r="P44" s="25" t="s">
        <v>56</v>
      </c>
      <c r="Q44" s="25" t="s">
        <v>56</v>
      </c>
      <c r="R44" s="25" t="s">
        <v>56</v>
      </c>
      <c r="S44" s="25" t="s">
        <v>56</v>
      </c>
    </row>
    <row r="45" ht="22" customHeight="1" spans="1:19" x14ac:dyDescent="0.25">
      <c r="A45" s="24" t="s">
        <v>56</v>
      </c>
      <c r="B45" s="25" t="s">
        <v>56</v>
      </c>
      <c r="C45" s="25" t="s">
        <v>56</v>
      </c>
      <c r="D45" s="26" t="s">
        <v>56</v>
      </c>
      <c r="E45" s="25" t="s">
        <v>56</v>
      </c>
      <c r="F45" s="25" t="s">
        <v>56</v>
      </c>
      <c r="G45" s="25" t="s">
        <v>56</v>
      </c>
      <c r="H45" s="25" t="s">
        <v>56</v>
      </c>
      <c r="I45" s="25" t="s">
        <v>56</v>
      </c>
      <c r="J45" s="25" t="s">
        <v>56</v>
      </c>
      <c r="K45" s="25" t="s">
        <v>56</v>
      </c>
      <c r="L45" s="25" t="s">
        <v>56</v>
      </c>
      <c r="M45" s="25" t="s">
        <v>56</v>
      </c>
      <c r="N45" s="25" t="s">
        <v>56</v>
      </c>
      <c r="O45" s="25" t="s">
        <v>56</v>
      </c>
      <c r="P45" s="25" t="s">
        <v>56</v>
      </c>
      <c r="Q45" s="25" t="s">
        <v>56</v>
      </c>
      <c r="R45" s="25" t="s">
        <v>56</v>
      </c>
      <c r="S45" s="25" t="s">
        <v>56</v>
      </c>
    </row>
    <row r="46" ht="22" customHeight="1" spans="1:19" x14ac:dyDescent="0.25">
      <c r="A46" s="24" t="s">
        <v>56</v>
      </c>
      <c r="B46" s="25" t="s">
        <v>56</v>
      </c>
      <c r="C46" s="25" t="s">
        <v>56</v>
      </c>
      <c r="D46" s="26" t="s">
        <v>56</v>
      </c>
      <c r="E46" s="25" t="s">
        <v>56</v>
      </c>
      <c r="F46" s="25" t="s">
        <v>56</v>
      </c>
      <c r="G46" s="25" t="s">
        <v>56</v>
      </c>
      <c r="H46" s="25" t="s">
        <v>56</v>
      </c>
      <c r="I46" s="25" t="s">
        <v>56</v>
      </c>
      <c r="J46" s="25" t="s">
        <v>56</v>
      </c>
      <c r="K46" s="25" t="s">
        <v>56</v>
      </c>
      <c r="L46" s="25" t="s">
        <v>56</v>
      </c>
      <c r="M46" s="25" t="s">
        <v>56</v>
      </c>
      <c r="N46" s="25" t="s">
        <v>56</v>
      </c>
      <c r="O46" s="25" t="s">
        <v>56</v>
      </c>
      <c r="P46" s="25" t="s">
        <v>56</v>
      </c>
      <c r="Q46" s="25" t="s">
        <v>56</v>
      </c>
      <c r="R46" s="25" t="s">
        <v>56</v>
      </c>
      <c r="S46" s="25" t="s">
        <v>56</v>
      </c>
    </row>
    <row r="47" ht="22" customHeight="1" spans="1:19" x14ac:dyDescent="0.25">
      <c r="A47" s="24" t="s">
        <v>56</v>
      </c>
      <c r="B47" s="25" t="s">
        <v>56</v>
      </c>
      <c r="C47" s="25" t="s">
        <v>56</v>
      </c>
      <c r="D47" s="26" t="s">
        <v>56</v>
      </c>
      <c r="E47" s="25" t="s">
        <v>56</v>
      </c>
      <c r="F47" s="25" t="s">
        <v>56</v>
      </c>
      <c r="G47" s="25" t="s">
        <v>56</v>
      </c>
      <c r="H47" s="25" t="s">
        <v>56</v>
      </c>
      <c r="I47" s="25" t="s">
        <v>56</v>
      </c>
      <c r="J47" s="25" t="s">
        <v>56</v>
      </c>
      <c r="K47" s="25" t="s">
        <v>56</v>
      </c>
      <c r="L47" s="25" t="s">
        <v>56</v>
      </c>
      <c r="M47" s="25" t="s">
        <v>56</v>
      </c>
      <c r="N47" s="25" t="s">
        <v>56</v>
      </c>
      <c r="O47" s="25" t="s">
        <v>56</v>
      </c>
      <c r="P47" s="25" t="s">
        <v>56</v>
      </c>
      <c r="Q47" s="25" t="s">
        <v>56</v>
      </c>
      <c r="R47" s="25" t="s">
        <v>56</v>
      </c>
      <c r="S47" s="25" t="s">
        <v>56</v>
      </c>
    </row>
    <row r="48" ht="22" customHeight="1" spans="1:19" x14ac:dyDescent="0.25">
      <c r="A48" s="24" t="s">
        <v>56</v>
      </c>
      <c r="B48" s="25" t="s">
        <v>56</v>
      </c>
      <c r="C48" s="25" t="s">
        <v>56</v>
      </c>
      <c r="D48" s="26" t="s">
        <v>56</v>
      </c>
      <c r="E48" s="25" t="s">
        <v>56</v>
      </c>
      <c r="F48" s="25" t="s">
        <v>56</v>
      </c>
      <c r="G48" s="25" t="s">
        <v>56</v>
      </c>
      <c r="H48" s="25" t="s">
        <v>56</v>
      </c>
      <c r="I48" s="25" t="s">
        <v>56</v>
      </c>
      <c r="J48" s="25" t="s">
        <v>56</v>
      </c>
      <c r="K48" s="25" t="s">
        <v>56</v>
      </c>
      <c r="L48" s="25" t="s">
        <v>56</v>
      </c>
      <c r="M48" s="25" t="s">
        <v>56</v>
      </c>
      <c r="N48" s="25" t="s">
        <v>56</v>
      </c>
      <c r="O48" s="25" t="s">
        <v>56</v>
      </c>
      <c r="P48" s="25" t="s">
        <v>56</v>
      </c>
      <c r="Q48" s="25" t="s">
        <v>56</v>
      </c>
      <c r="R48" s="25" t="s">
        <v>56</v>
      </c>
      <c r="S48" s="25" t="s">
        <v>56</v>
      </c>
    </row>
    <row r="49" ht="22" customHeight="1" spans="1:19" x14ac:dyDescent="0.25">
      <c r="A49" s="24" t="s">
        <v>56</v>
      </c>
      <c r="B49" s="25" t="s">
        <v>56</v>
      </c>
      <c r="C49" s="25" t="s">
        <v>56</v>
      </c>
      <c r="D49" s="26" t="s">
        <v>56</v>
      </c>
      <c r="E49" s="25" t="s">
        <v>56</v>
      </c>
      <c r="F49" s="25" t="s">
        <v>56</v>
      </c>
      <c r="G49" s="25" t="s">
        <v>56</v>
      </c>
      <c r="H49" s="25" t="s">
        <v>56</v>
      </c>
      <c r="I49" s="25" t="s">
        <v>56</v>
      </c>
      <c r="J49" s="25" t="s">
        <v>56</v>
      </c>
      <c r="K49" s="25" t="s">
        <v>56</v>
      </c>
      <c r="L49" s="25" t="s">
        <v>56</v>
      </c>
      <c r="M49" s="25" t="s">
        <v>56</v>
      </c>
      <c r="N49" s="25" t="s">
        <v>56</v>
      </c>
      <c r="O49" s="25" t="s">
        <v>56</v>
      </c>
      <c r="P49" s="25" t="s">
        <v>56</v>
      </c>
      <c r="Q49" s="25" t="s">
        <v>56</v>
      </c>
      <c r="R49" s="25" t="s">
        <v>56</v>
      </c>
      <c r="S49" s="25" t="s">
        <v>56</v>
      </c>
    </row>
    <row r="50" ht="22" customHeight="1" spans="1:19" x14ac:dyDescent="0.25">
      <c r="A50" s="24" t="s">
        <v>56</v>
      </c>
      <c r="B50" s="25" t="s">
        <v>56</v>
      </c>
      <c r="C50" s="25" t="s">
        <v>56</v>
      </c>
      <c r="D50" s="26" t="s">
        <v>56</v>
      </c>
      <c r="E50" s="25" t="s">
        <v>56</v>
      </c>
      <c r="F50" s="25" t="s">
        <v>56</v>
      </c>
      <c r="G50" s="25" t="s">
        <v>56</v>
      </c>
      <c r="H50" s="25" t="s">
        <v>56</v>
      </c>
      <c r="I50" s="25" t="s">
        <v>56</v>
      </c>
      <c r="J50" s="25" t="s">
        <v>56</v>
      </c>
      <c r="K50" s="25" t="s">
        <v>56</v>
      </c>
      <c r="L50" s="25" t="s">
        <v>56</v>
      </c>
      <c r="M50" s="25" t="s">
        <v>56</v>
      </c>
      <c r="N50" s="25" t="s">
        <v>56</v>
      </c>
      <c r="O50" s="25" t="s">
        <v>56</v>
      </c>
      <c r="P50" s="25" t="s">
        <v>56</v>
      </c>
      <c r="Q50" s="25" t="s">
        <v>56</v>
      </c>
      <c r="R50" s="25" t="s">
        <v>56</v>
      </c>
      <c r="S50" s="25" t="s">
        <v>56</v>
      </c>
    </row>
    <row r="51" ht="22" customHeight="1" spans="1:19" x14ac:dyDescent="0.25">
      <c r="A51" s="24" t="s">
        <v>56</v>
      </c>
      <c r="B51" s="25" t="s">
        <v>56</v>
      </c>
      <c r="C51" s="25" t="s">
        <v>56</v>
      </c>
      <c r="D51" s="26" t="s">
        <v>56</v>
      </c>
      <c r="E51" s="25" t="s">
        <v>56</v>
      </c>
      <c r="F51" s="25" t="s">
        <v>56</v>
      </c>
      <c r="G51" s="25" t="s">
        <v>56</v>
      </c>
      <c r="H51" s="25" t="s">
        <v>56</v>
      </c>
      <c r="I51" s="25" t="s">
        <v>56</v>
      </c>
      <c r="J51" s="25" t="s">
        <v>56</v>
      </c>
      <c r="K51" s="25" t="s">
        <v>56</v>
      </c>
      <c r="L51" s="25" t="s">
        <v>56</v>
      </c>
      <c r="M51" s="25" t="s">
        <v>56</v>
      </c>
      <c r="N51" s="25" t="s">
        <v>56</v>
      </c>
      <c r="O51" s="25" t="s">
        <v>56</v>
      </c>
      <c r="P51" s="25" t="s">
        <v>56</v>
      </c>
      <c r="Q51" s="25" t="s">
        <v>56</v>
      </c>
      <c r="R51" s="25" t="s">
        <v>56</v>
      </c>
      <c r="S51" s="25" t="s">
        <v>56</v>
      </c>
    </row>
    <row r="52" ht="22" customHeight="1" spans="1:19" x14ac:dyDescent="0.25">
      <c r="A52" s="24" t="s">
        <v>56</v>
      </c>
      <c r="B52" s="25" t="s">
        <v>56</v>
      </c>
      <c r="C52" s="25" t="s">
        <v>56</v>
      </c>
      <c r="D52" s="26" t="s">
        <v>56</v>
      </c>
      <c r="E52" s="25" t="s">
        <v>56</v>
      </c>
      <c r="F52" s="25" t="s">
        <v>56</v>
      </c>
      <c r="G52" s="25" t="s">
        <v>56</v>
      </c>
      <c r="H52" s="25" t="s">
        <v>56</v>
      </c>
      <c r="I52" s="25" t="s">
        <v>56</v>
      </c>
      <c r="J52" s="25" t="s">
        <v>56</v>
      </c>
      <c r="K52" s="25" t="s">
        <v>56</v>
      </c>
      <c r="L52" s="25" t="s">
        <v>56</v>
      </c>
      <c r="M52" s="25" t="s">
        <v>56</v>
      </c>
      <c r="N52" s="25" t="s">
        <v>56</v>
      </c>
      <c r="O52" s="25" t="s">
        <v>56</v>
      </c>
      <c r="P52" s="25" t="s">
        <v>56</v>
      </c>
      <c r="Q52" s="25" t="s">
        <v>56</v>
      </c>
      <c r="R52" s="25" t="s">
        <v>56</v>
      </c>
      <c r="S52" s="25" t="s">
        <v>56</v>
      </c>
    </row>
    <row r="53" ht="22" customHeight="1" spans="1:19" x14ac:dyDescent="0.25">
      <c r="A53" s="24" t="s">
        <v>56</v>
      </c>
      <c r="B53" s="25" t="s">
        <v>56</v>
      </c>
      <c r="C53" s="25" t="s">
        <v>56</v>
      </c>
      <c r="D53" s="26" t="s">
        <v>56</v>
      </c>
      <c r="E53" s="25" t="s">
        <v>56</v>
      </c>
      <c r="F53" s="25" t="s">
        <v>56</v>
      </c>
      <c r="G53" s="25" t="s">
        <v>56</v>
      </c>
      <c r="H53" s="25" t="s">
        <v>56</v>
      </c>
      <c r="I53" s="25" t="s">
        <v>56</v>
      </c>
      <c r="J53" s="25" t="s">
        <v>56</v>
      </c>
      <c r="K53" s="25" t="s">
        <v>56</v>
      </c>
      <c r="L53" s="25" t="s">
        <v>56</v>
      </c>
      <c r="M53" s="25" t="s">
        <v>56</v>
      </c>
      <c r="N53" s="25" t="s">
        <v>56</v>
      </c>
      <c r="O53" s="25" t="s">
        <v>56</v>
      </c>
      <c r="P53" s="25" t="s">
        <v>56</v>
      </c>
      <c r="Q53" s="25" t="s">
        <v>56</v>
      </c>
      <c r="R53" s="25" t="s">
        <v>56</v>
      </c>
      <c r="S53" s="25" t="s">
        <v>56</v>
      </c>
    </row>
    <row r="54" ht="22" customHeight="1" spans="1:19" x14ac:dyDescent="0.25">
      <c r="A54" s="24" t="s">
        <v>56</v>
      </c>
      <c r="B54" s="25" t="s">
        <v>56</v>
      </c>
      <c r="C54" s="25" t="s">
        <v>56</v>
      </c>
      <c r="D54" s="26" t="s">
        <v>56</v>
      </c>
      <c r="E54" s="25" t="s">
        <v>56</v>
      </c>
      <c r="F54" s="25" t="s">
        <v>56</v>
      </c>
      <c r="G54" s="25" t="s">
        <v>56</v>
      </c>
      <c r="H54" s="25" t="s">
        <v>56</v>
      </c>
      <c r="I54" s="25" t="s">
        <v>56</v>
      </c>
      <c r="J54" s="25" t="s">
        <v>56</v>
      </c>
      <c r="K54" s="25" t="s">
        <v>56</v>
      </c>
      <c r="L54" s="25" t="s">
        <v>56</v>
      </c>
      <c r="M54" s="25" t="s">
        <v>56</v>
      </c>
      <c r="N54" s="25" t="s">
        <v>56</v>
      </c>
      <c r="O54" s="25" t="s">
        <v>56</v>
      </c>
      <c r="P54" s="25" t="s">
        <v>56</v>
      </c>
      <c r="Q54" s="25" t="s">
        <v>56</v>
      </c>
      <c r="R54" s="25" t="s">
        <v>56</v>
      </c>
      <c r="S54" s="25" t="s">
        <v>56</v>
      </c>
    </row>
    <row r="55" spans="5:18" x14ac:dyDescent="0.25">
      <c r="E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5:18" x14ac:dyDescent="0.25">
      <c r="E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5:18" x14ac:dyDescent="0.25">
      <c r="E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5:18" x14ac:dyDescent="0.25">
      <c r="E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5:18" x14ac:dyDescent="0.25">
      <c r="E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5:18" x14ac:dyDescent="0.25">
      <c r="E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5:18" x14ac:dyDescent="0.25">
      <c r="E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5:18" x14ac:dyDescent="0.25">
      <c r="E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5:18" x14ac:dyDescent="0.25">
      <c r="E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5:18" x14ac:dyDescent="0.25">
      <c r="E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5:18" x14ac:dyDescent="0.25">
      <c r="E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5:18" x14ac:dyDescent="0.25">
      <c r="E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 spans="5:18" x14ac:dyDescent="0.25">
      <c r="E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 spans="5:18" x14ac:dyDescent="0.25">
      <c r="E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 spans="5:18" x14ac:dyDescent="0.25">
      <c r="E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 spans="5:18" x14ac:dyDescent="0.25">
      <c r="E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5:18" x14ac:dyDescent="0.25">
      <c r="E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spans="5:18" x14ac:dyDescent="0.25">
      <c r="E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spans="5:18" x14ac:dyDescent="0.25">
      <c r="E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5:18" x14ac:dyDescent="0.25">
      <c r="E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5:18" x14ac:dyDescent="0.25">
      <c r="E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5:18" x14ac:dyDescent="0.25">
      <c r="E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5:18" x14ac:dyDescent="0.25">
      <c r="E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5:18" x14ac:dyDescent="0.25">
      <c r="E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5:18" x14ac:dyDescent="0.25">
      <c r="E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spans="5:18" x14ac:dyDescent="0.25">
      <c r="E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spans="5:18" x14ac:dyDescent="0.25">
      <c r="E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spans="5:18" x14ac:dyDescent="0.25">
      <c r="E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5:18" x14ac:dyDescent="0.25">
      <c r="E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spans="5:18" x14ac:dyDescent="0.25">
      <c r="E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 spans="5:18" x14ac:dyDescent="0.25">
      <c r="E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 spans="5:18" x14ac:dyDescent="0.25">
      <c r="E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 spans="5:18" x14ac:dyDescent="0.25">
      <c r="E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 spans="5:18" x14ac:dyDescent="0.25">
      <c r="E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 spans="5:18" x14ac:dyDescent="0.25">
      <c r="E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 spans="5:18" x14ac:dyDescent="0.25">
      <c r="E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 spans="5:18" x14ac:dyDescent="0.25">
      <c r="E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 spans="5:18" x14ac:dyDescent="0.25">
      <c r="E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 spans="5:18" x14ac:dyDescent="0.25">
      <c r="E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 spans="5:18" x14ac:dyDescent="0.25">
      <c r="E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 spans="5:18" x14ac:dyDescent="0.25">
      <c r="E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 spans="5:18" x14ac:dyDescent="0.25">
      <c r="E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 spans="5:18" x14ac:dyDescent="0.25">
      <c r="E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 spans="5:18" x14ac:dyDescent="0.25">
      <c r="E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 spans="5:18" x14ac:dyDescent="0.25">
      <c r="E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 spans="5:18" x14ac:dyDescent="0.25">
      <c r="E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 spans="5:18" x14ac:dyDescent="0.25">
      <c r="E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 spans="5:18" x14ac:dyDescent="0.25">
      <c r="E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 spans="5:18" x14ac:dyDescent="0.25">
      <c r="E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 spans="5:18" x14ac:dyDescent="0.25">
      <c r="E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 spans="5:18" x14ac:dyDescent="0.25">
      <c r="E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 spans="5:18" x14ac:dyDescent="0.25">
      <c r="E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 spans="5:18" x14ac:dyDescent="0.25">
      <c r="E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 spans="5:18" x14ac:dyDescent="0.25">
      <c r="E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 spans="5:18" x14ac:dyDescent="0.25">
      <c r="E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 spans="5:18" x14ac:dyDescent="0.25">
      <c r="E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 spans="5:18" x14ac:dyDescent="0.25">
      <c r="E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 spans="5:18" x14ac:dyDescent="0.25">
      <c r="E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 spans="5:18" x14ac:dyDescent="0.25">
      <c r="E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 spans="5:18" x14ac:dyDescent="0.25">
      <c r="E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 spans="5:18" x14ac:dyDescent="0.25">
      <c r="E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 spans="5:18" x14ac:dyDescent="0.25">
      <c r="E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 spans="5:18" x14ac:dyDescent="0.25">
      <c r="E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 spans="5:18" x14ac:dyDescent="0.25">
      <c r="E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 spans="5:18" x14ac:dyDescent="0.25">
      <c r="E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 spans="5:18" x14ac:dyDescent="0.25">
      <c r="E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 spans="5:18" x14ac:dyDescent="0.25">
      <c r="E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 spans="5:18" x14ac:dyDescent="0.25">
      <c r="E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 spans="5:18" x14ac:dyDescent="0.25">
      <c r="E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 spans="5:18" x14ac:dyDescent="0.25">
      <c r="E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 spans="5:18" x14ac:dyDescent="0.25">
      <c r="E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 spans="5:18" x14ac:dyDescent="0.25">
      <c r="E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 spans="5:18" x14ac:dyDescent="0.25">
      <c r="E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 spans="5:18" x14ac:dyDescent="0.25">
      <c r="E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 spans="5:18" x14ac:dyDescent="0.25">
      <c r="E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 spans="5:18" x14ac:dyDescent="0.25">
      <c r="E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 spans="5:18" x14ac:dyDescent="0.25">
      <c r="E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 spans="5:18" x14ac:dyDescent="0.25">
      <c r="E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 spans="5:18" x14ac:dyDescent="0.25">
      <c r="E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 spans="5:18" x14ac:dyDescent="0.25">
      <c r="E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 spans="5:18" x14ac:dyDescent="0.25">
      <c r="E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 spans="5:18" x14ac:dyDescent="0.25">
      <c r="E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 spans="5:18" x14ac:dyDescent="0.25">
      <c r="E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 spans="5:18" x14ac:dyDescent="0.25">
      <c r="E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 spans="5:18" x14ac:dyDescent="0.25">
      <c r="E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 spans="5:18" x14ac:dyDescent="0.25">
      <c r="E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 spans="5:18" x14ac:dyDescent="0.25">
      <c r="E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 spans="5:18" x14ac:dyDescent="0.25">
      <c r="E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 spans="5:18" x14ac:dyDescent="0.25">
      <c r="E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 spans="5:18" x14ac:dyDescent="0.25">
      <c r="E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 spans="5:18" x14ac:dyDescent="0.25">
      <c r="E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 spans="5:18" x14ac:dyDescent="0.25">
      <c r="E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 spans="5:18" x14ac:dyDescent="0.25">
      <c r="E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 spans="5:18" x14ac:dyDescent="0.25">
      <c r="E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 spans="5:18" x14ac:dyDescent="0.25">
      <c r="E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 spans="5:18" x14ac:dyDescent="0.25">
      <c r="E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 spans="5:18" x14ac:dyDescent="0.25">
      <c r="E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 spans="5:18" x14ac:dyDescent="0.25">
      <c r="E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 spans="5:18" x14ac:dyDescent="0.25">
      <c r="E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 spans="5:18" x14ac:dyDescent="0.25">
      <c r="E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 spans="5:18" x14ac:dyDescent="0.25">
      <c r="E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 spans="5:18" x14ac:dyDescent="0.25">
      <c r="E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 spans="5:18" x14ac:dyDescent="0.25">
      <c r="E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 spans="5:18" x14ac:dyDescent="0.25">
      <c r="E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 spans="5:18" x14ac:dyDescent="0.25">
      <c r="E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 spans="5:18" x14ac:dyDescent="0.25">
      <c r="E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 spans="5:18" x14ac:dyDescent="0.25">
      <c r="E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 spans="5:18" x14ac:dyDescent="0.25">
      <c r="E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 spans="5:18" x14ac:dyDescent="0.25">
      <c r="E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 spans="5:18" x14ac:dyDescent="0.25">
      <c r="E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 spans="5:18" x14ac:dyDescent="0.25">
      <c r="E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 spans="5:18" x14ac:dyDescent="0.25">
      <c r="E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 spans="5:18" x14ac:dyDescent="0.25">
      <c r="E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 spans="5:18" x14ac:dyDescent="0.25">
      <c r="E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 spans="5:18" x14ac:dyDescent="0.25">
      <c r="E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 spans="5:18" x14ac:dyDescent="0.25">
      <c r="E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 spans="5:18" x14ac:dyDescent="0.25">
      <c r="E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 spans="5:18" x14ac:dyDescent="0.25">
      <c r="E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 spans="5:18" x14ac:dyDescent="0.25">
      <c r="E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 spans="5:18" x14ac:dyDescent="0.25">
      <c r="E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 spans="5:18" x14ac:dyDescent="0.25">
      <c r="E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 spans="5:18" x14ac:dyDescent="0.25">
      <c r="E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 spans="5:18" x14ac:dyDescent="0.25">
      <c r="E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 spans="5:18" x14ac:dyDescent="0.25">
      <c r="E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 spans="5:18" x14ac:dyDescent="0.25">
      <c r="E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 spans="5:18" x14ac:dyDescent="0.25">
      <c r="E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 spans="5:18" x14ac:dyDescent="0.25">
      <c r="E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 spans="5:18" x14ac:dyDescent="0.25">
      <c r="E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 spans="5:18" x14ac:dyDescent="0.25">
      <c r="E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 spans="5:18" x14ac:dyDescent="0.25">
      <c r="E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 spans="5:18" x14ac:dyDescent="0.25">
      <c r="E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 spans="5:18" x14ac:dyDescent="0.25">
      <c r="E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 spans="5:18" x14ac:dyDescent="0.25">
      <c r="E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 spans="5:18" x14ac:dyDescent="0.25">
      <c r="E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 spans="5:18" x14ac:dyDescent="0.25">
      <c r="E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 spans="5:18" x14ac:dyDescent="0.25">
      <c r="E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 spans="5:18" x14ac:dyDescent="0.25">
      <c r="E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 spans="5:18" x14ac:dyDescent="0.25">
      <c r="E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 spans="5:18" x14ac:dyDescent="0.25">
      <c r="E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 spans="5:18" x14ac:dyDescent="0.25">
      <c r="E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 spans="5:18" x14ac:dyDescent="0.25">
      <c r="E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 spans="5:18" x14ac:dyDescent="0.25">
      <c r="E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 spans="5:18" x14ac:dyDescent="0.25">
      <c r="E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 spans="5:18" x14ac:dyDescent="0.25">
      <c r="E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 spans="5:18" x14ac:dyDescent="0.25">
      <c r="E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 spans="5:18" x14ac:dyDescent="0.25">
      <c r="E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 spans="5:18" x14ac:dyDescent="0.25">
      <c r="E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 spans="5:18" x14ac:dyDescent="0.25">
      <c r="E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 spans="5:18" x14ac:dyDescent="0.25">
      <c r="E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 spans="5:18" x14ac:dyDescent="0.25">
      <c r="E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 spans="5:18" x14ac:dyDescent="0.25">
      <c r="E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 spans="5:18" x14ac:dyDescent="0.25">
      <c r="E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 spans="5:18" x14ac:dyDescent="0.25">
      <c r="E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 spans="5:18" x14ac:dyDescent="0.25">
      <c r="E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 spans="5:18" x14ac:dyDescent="0.25">
      <c r="E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 spans="5:18" x14ac:dyDescent="0.25">
      <c r="E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 spans="5:18" x14ac:dyDescent="0.25">
      <c r="E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 spans="5:18" x14ac:dyDescent="0.25">
      <c r="E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 spans="5:18" x14ac:dyDescent="0.25">
      <c r="E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 spans="5:18" x14ac:dyDescent="0.25">
      <c r="E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 spans="5:18" x14ac:dyDescent="0.25">
      <c r="E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 spans="5:18" x14ac:dyDescent="0.25">
      <c r="E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 spans="5:18" x14ac:dyDescent="0.25">
      <c r="E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 spans="5:18" x14ac:dyDescent="0.25">
      <c r="E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 spans="5:18" x14ac:dyDescent="0.25">
      <c r="E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 spans="5:18" x14ac:dyDescent="0.25">
      <c r="E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 spans="5:18" x14ac:dyDescent="0.25">
      <c r="E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 spans="5:18" x14ac:dyDescent="0.25">
      <c r="E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 spans="5:18" x14ac:dyDescent="0.25">
      <c r="E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 spans="5:18" x14ac:dyDescent="0.25">
      <c r="E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 spans="5:18" x14ac:dyDescent="0.25">
      <c r="E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 spans="5:18" x14ac:dyDescent="0.25">
      <c r="E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 spans="5:18" x14ac:dyDescent="0.25">
      <c r="E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 spans="5:18" x14ac:dyDescent="0.25">
      <c r="E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 spans="5:18" x14ac:dyDescent="0.25">
      <c r="E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 spans="5:18" x14ac:dyDescent="0.25">
      <c r="E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 spans="5:18" x14ac:dyDescent="0.25">
      <c r="E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 spans="5:18" x14ac:dyDescent="0.25">
      <c r="E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 spans="5:18" x14ac:dyDescent="0.25">
      <c r="E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 spans="5:18" x14ac:dyDescent="0.25">
      <c r="E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 spans="5:18" x14ac:dyDescent="0.25">
      <c r="E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 spans="5:18" x14ac:dyDescent="0.25">
      <c r="E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 spans="5:18" x14ac:dyDescent="0.25">
      <c r="E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 spans="5:18" x14ac:dyDescent="0.25">
      <c r="E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 spans="5:18" x14ac:dyDescent="0.25">
      <c r="E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 spans="5:18" x14ac:dyDescent="0.25">
      <c r="E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 spans="5:18" x14ac:dyDescent="0.25">
      <c r="E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 spans="5:18" x14ac:dyDescent="0.25">
      <c r="E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 spans="5:18" x14ac:dyDescent="0.25">
      <c r="E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 spans="5:18" x14ac:dyDescent="0.25">
      <c r="E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 spans="5:18" x14ac:dyDescent="0.25">
      <c r="E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 spans="5:18" x14ac:dyDescent="0.25">
      <c r="E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 spans="5:18" x14ac:dyDescent="0.25">
      <c r="E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 spans="5:18" x14ac:dyDescent="0.25">
      <c r="E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 spans="5:18" x14ac:dyDescent="0.25">
      <c r="E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 spans="5:18" x14ac:dyDescent="0.25">
      <c r="E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 spans="5:18" x14ac:dyDescent="0.25">
      <c r="E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 spans="5:18" x14ac:dyDescent="0.25">
      <c r="E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 spans="5:18" x14ac:dyDescent="0.25">
      <c r="E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 spans="5:18" x14ac:dyDescent="0.25">
      <c r="E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 spans="5:18" x14ac:dyDescent="0.25">
      <c r="E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 spans="5:18" x14ac:dyDescent="0.25">
      <c r="E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 spans="5:18" x14ac:dyDescent="0.25">
      <c r="E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 spans="5:18" x14ac:dyDescent="0.25">
      <c r="E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 spans="5:18" x14ac:dyDescent="0.25">
      <c r="E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 spans="5:18" x14ac:dyDescent="0.25">
      <c r="E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 spans="5:18" x14ac:dyDescent="0.25">
      <c r="E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 spans="5:18" x14ac:dyDescent="0.25">
      <c r="E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 spans="5:18" x14ac:dyDescent="0.25">
      <c r="E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 spans="5:18" x14ac:dyDescent="0.25">
      <c r="E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 spans="5:18" x14ac:dyDescent="0.25">
      <c r="E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 spans="5:18" x14ac:dyDescent="0.25">
      <c r="E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 spans="5:18" x14ac:dyDescent="0.25">
      <c r="E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 spans="5:18" x14ac:dyDescent="0.25">
      <c r="E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 spans="5:18" x14ac:dyDescent="0.25">
      <c r="E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 spans="5:18" x14ac:dyDescent="0.25">
      <c r="E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 spans="5:18" x14ac:dyDescent="0.25">
      <c r="E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 spans="5:18" x14ac:dyDescent="0.25">
      <c r="E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 spans="5:18" x14ac:dyDescent="0.25">
      <c r="E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 spans="5:18" x14ac:dyDescent="0.25">
      <c r="E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 spans="5:18" x14ac:dyDescent="0.25">
      <c r="E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 spans="5:18" x14ac:dyDescent="0.25">
      <c r="E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 spans="5:18" x14ac:dyDescent="0.25">
      <c r="E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 spans="5:18" x14ac:dyDescent="0.25">
      <c r="E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 spans="5:18" x14ac:dyDescent="0.25">
      <c r="E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 spans="5:18" x14ac:dyDescent="0.25">
      <c r="E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 spans="5:18" x14ac:dyDescent="0.25">
      <c r="E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 spans="5:18" x14ac:dyDescent="0.25">
      <c r="E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 spans="5:18" x14ac:dyDescent="0.25">
      <c r="E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 spans="5:18" x14ac:dyDescent="0.25">
      <c r="E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 spans="5:18" x14ac:dyDescent="0.25">
      <c r="E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 spans="5:18" x14ac:dyDescent="0.25">
      <c r="E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 spans="5:18" x14ac:dyDescent="0.25">
      <c r="E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 spans="5:18" x14ac:dyDescent="0.25">
      <c r="E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 spans="5:18" x14ac:dyDescent="0.25">
      <c r="E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 spans="5:18" x14ac:dyDescent="0.25">
      <c r="E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 spans="5:18" x14ac:dyDescent="0.25">
      <c r="E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 spans="5:18" x14ac:dyDescent="0.25">
      <c r="E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 spans="5:18" x14ac:dyDescent="0.25">
      <c r="E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 spans="5:18" x14ac:dyDescent="0.25">
      <c r="E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 spans="5:18" x14ac:dyDescent="0.25">
      <c r="E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 spans="5:18" x14ac:dyDescent="0.25">
      <c r="E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 spans="5:18" x14ac:dyDescent="0.25">
      <c r="E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 spans="5:18" x14ac:dyDescent="0.25">
      <c r="E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 spans="5:18" x14ac:dyDescent="0.25">
      <c r="E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 spans="5:18" x14ac:dyDescent="0.25">
      <c r="E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  <row r="301" spans="5:18" x14ac:dyDescent="0.25">
      <c r="E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</row>
    <row r="302" spans="5:18" x14ac:dyDescent="0.25">
      <c r="E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</row>
    <row r="303" spans="5:18" x14ac:dyDescent="0.25">
      <c r="E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</row>
    <row r="304" spans="5:18" x14ac:dyDescent="0.25">
      <c r="E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</row>
    <row r="305" spans="5:18" x14ac:dyDescent="0.25">
      <c r="E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</row>
    <row r="306" spans="5:18" x14ac:dyDescent="0.25">
      <c r="E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</row>
    <row r="307" spans="5:18" x14ac:dyDescent="0.25">
      <c r="E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</row>
    <row r="308" spans="5:18" x14ac:dyDescent="0.25">
      <c r="E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</row>
    <row r="309" spans="5:18" x14ac:dyDescent="0.25">
      <c r="E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</row>
    <row r="310" spans="5:18" x14ac:dyDescent="0.25">
      <c r="E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</row>
    <row r="311" spans="5:18" x14ac:dyDescent="0.25">
      <c r="E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</row>
    <row r="312" spans="5:18" x14ac:dyDescent="0.25">
      <c r="E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</row>
    <row r="313" spans="5:18" x14ac:dyDescent="0.25">
      <c r="E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</row>
    <row r="314" spans="5:18" x14ac:dyDescent="0.25">
      <c r="E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</row>
    <row r="315" spans="5:18" x14ac:dyDescent="0.25">
      <c r="E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</row>
    <row r="316" spans="5:18" x14ac:dyDescent="0.25">
      <c r="E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</row>
    <row r="317" spans="5:18" x14ac:dyDescent="0.25">
      <c r="E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</row>
    <row r="318" spans="5:18" x14ac:dyDescent="0.25">
      <c r="E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</row>
    <row r="319" spans="5:18" x14ac:dyDescent="0.25">
      <c r="E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</row>
    <row r="320" spans="5:18" x14ac:dyDescent="0.25">
      <c r="E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</row>
    <row r="321" spans="5:18" x14ac:dyDescent="0.25">
      <c r="E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</row>
    <row r="322" spans="5:18" x14ac:dyDescent="0.25">
      <c r="E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</row>
    <row r="323" spans="5:18" x14ac:dyDescent="0.25">
      <c r="E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</row>
    <row r="324" spans="5:18" x14ac:dyDescent="0.25">
      <c r="E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</row>
    <row r="325" spans="5:18" x14ac:dyDescent="0.25">
      <c r="E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</row>
    <row r="326" spans="5:18" x14ac:dyDescent="0.25">
      <c r="E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</row>
    <row r="327" spans="5:18" x14ac:dyDescent="0.25">
      <c r="E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</row>
    <row r="328" spans="5:18" x14ac:dyDescent="0.25">
      <c r="E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</row>
    <row r="329" spans="5:18" x14ac:dyDescent="0.25">
      <c r="E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</row>
    <row r="330" spans="5:18" x14ac:dyDescent="0.25">
      <c r="E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</row>
    <row r="331" spans="5:18" x14ac:dyDescent="0.25">
      <c r="E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</row>
    <row r="332" spans="5:18" x14ac:dyDescent="0.25">
      <c r="E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</row>
    <row r="333" spans="5:18" x14ac:dyDescent="0.25">
      <c r="E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</row>
    <row r="334" spans="5:18" x14ac:dyDescent="0.25">
      <c r="E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</row>
    <row r="335" spans="5:18" x14ac:dyDescent="0.25">
      <c r="E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</row>
    <row r="336" spans="5:18" x14ac:dyDescent="0.25">
      <c r="E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</row>
    <row r="337" spans="5:18" x14ac:dyDescent="0.25">
      <c r="E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</row>
    <row r="338" spans="5:18" x14ac:dyDescent="0.25">
      <c r="E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</row>
    <row r="339" spans="5:18" x14ac:dyDescent="0.25">
      <c r="E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</row>
    <row r="340" spans="5:18" x14ac:dyDescent="0.25">
      <c r="E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</row>
    <row r="341" spans="5:18" x14ac:dyDescent="0.25">
      <c r="E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</row>
    <row r="342" spans="5:18" x14ac:dyDescent="0.25">
      <c r="E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</row>
    <row r="343" spans="5:18" x14ac:dyDescent="0.25">
      <c r="E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</row>
    <row r="344" spans="5:18" x14ac:dyDescent="0.25">
      <c r="E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</row>
    <row r="345" spans="5:18" x14ac:dyDescent="0.25">
      <c r="E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</row>
    <row r="346" spans="5:18" x14ac:dyDescent="0.25">
      <c r="E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</row>
    <row r="347" spans="5:18" x14ac:dyDescent="0.25">
      <c r="E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</row>
    <row r="348" spans="5:18" x14ac:dyDescent="0.25">
      <c r="E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</row>
    <row r="349" spans="5:18" x14ac:dyDescent="0.25">
      <c r="E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</row>
    <row r="350" spans="5:18" x14ac:dyDescent="0.25">
      <c r="E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</row>
    <row r="351" spans="5:18" x14ac:dyDescent="0.25">
      <c r="E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</row>
    <row r="352" spans="5:18" x14ac:dyDescent="0.25">
      <c r="E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</row>
    <row r="353" spans="5:18" x14ac:dyDescent="0.25">
      <c r="E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</row>
    <row r="354" spans="5:18" x14ac:dyDescent="0.25">
      <c r="E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</row>
    <row r="355" spans="5:18" x14ac:dyDescent="0.25">
      <c r="E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</row>
    <row r="356" spans="5:18" x14ac:dyDescent="0.25">
      <c r="E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</row>
    <row r="357" spans="5:18" x14ac:dyDescent="0.25">
      <c r="E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</row>
    <row r="358" spans="5:18" x14ac:dyDescent="0.25">
      <c r="E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</row>
    <row r="359" spans="5:18" x14ac:dyDescent="0.25">
      <c r="E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</row>
    <row r="360" spans="5:18" x14ac:dyDescent="0.25">
      <c r="E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</row>
    <row r="361" spans="5:18" x14ac:dyDescent="0.25">
      <c r="E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</row>
    <row r="362" spans="5:18" x14ac:dyDescent="0.25">
      <c r="E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</row>
    <row r="363" spans="5:18" x14ac:dyDescent="0.25">
      <c r="E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</row>
    <row r="364" spans="5:18" x14ac:dyDescent="0.25">
      <c r="E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</row>
    <row r="365" spans="5:18" x14ac:dyDescent="0.25">
      <c r="E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</row>
    <row r="366" spans="5:18" x14ac:dyDescent="0.25">
      <c r="E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</row>
    <row r="367" spans="5:18" x14ac:dyDescent="0.25">
      <c r="E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</row>
    <row r="368" spans="5:18" x14ac:dyDescent="0.25">
      <c r="E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</row>
    <row r="369" spans="5:18" x14ac:dyDescent="0.25">
      <c r="E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</row>
    <row r="370" spans="5:18" x14ac:dyDescent="0.25">
      <c r="E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</row>
    <row r="371" spans="5:18" x14ac:dyDescent="0.25">
      <c r="E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</row>
    <row r="372" spans="5:18" x14ac:dyDescent="0.25">
      <c r="E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</row>
    <row r="373" spans="5:18" x14ac:dyDescent="0.25">
      <c r="E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</row>
    <row r="374" spans="5:18" x14ac:dyDescent="0.25">
      <c r="E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</row>
    <row r="375" spans="5:18" x14ac:dyDescent="0.25">
      <c r="E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</row>
    <row r="376" spans="5:18" x14ac:dyDescent="0.25">
      <c r="E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</row>
    <row r="377" spans="5:18" x14ac:dyDescent="0.25">
      <c r="E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</row>
    <row r="378" spans="5:18" x14ac:dyDescent="0.25">
      <c r="E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</row>
    <row r="379" spans="5:18" x14ac:dyDescent="0.25">
      <c r="E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</row>
    <row r="380" spans="5:18" x14ac:dyDescent="0.25">
      <c r="E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</row>
    <row r="381" spans="5:18" x14ac:dyDescent="0.25">
      <c r="E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</row>
    <row r="382" spans="5:18" x14ac:dyDescent="0.25">
      <c r="E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</row>
    <row r="383" spans="5:18" x14ac:dyDescent="0.25">
      <c r="E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</row>
    <row r="384" spans="5:18" x14ac:dyDescent="0.25">
      <c r="E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</row>
    <row r="385" spans="5:18" x14ac:dyDescent="0.25">
      <c r="E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</row>
    <row r="386" spans="5:18" x14ac:dyDescent="0.25">
      <c r="E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</row>
    <row r="387" spans="5:18" x14ac:dyDescent="0.25">
      <c r="E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</row>
    <row r="388" spans="5:18" x14ac:dyDescent="0.25">
      <c r="E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</row>
    <row r="389" spans="5:18" x14ac:dyDescent="0.25">
      <c r="E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</row>
    <row r="390" spans="5:18" x14ac:dyDescent="0.25">
      <c r="E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</row>
    <row r="391" spans="5:18" x14ac:dyDescent="0.25">
      <c r="E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</row>
    <row r="392" spans="5:18" x14ac:dyDescent="0.25">
      <c r="E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</row>
    <row r="393" spans="5:18" x14ac:dyDescent="0.25">
      <c r="E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</row>
    <row r="394" spans="5:18" x14ac:dyDescent="0.25">
      <c r="E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</row>
    <row r="395" spans="5:18" x14ac:dyDescent="0.25">
      <c r="E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</row>
    <row r="396" spans="5:18" x14ac:dyDescent="0.25">
      <c r="E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</row>
    <row r="397" spans="5:18" x14ac:dyDescent="0.25">
      <c r="E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</row>
    <row r="398" spans="5:18" x14ac:dyDescent="0.25">
      <c r="E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</row>
    <row r="399" spans="5:18" x14ac:dyDescent="0.25">
      <c r="E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</row>
    <row r="400" spans="5:18" x14ac:dyDescent="0.25">
      <c r="E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</row>
    <row r="401" spans="5:18" x14ac:dyDescent="0.25">
      <c r="E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</row>
    <row r="402" spans="5:18" x14ac:dyDescent="0.25">
      <c r="E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</row>
    <row r="403" spans="5:18" x14ac:dyDescent="0.25">
      <c r="E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</row>
    <row r="404" spans="5:18" x14ac:dyDescent="0.25">
      <c r="E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</row>
    <row r="405" spans="5:18" x14ac:dyDescent="0.25">
      <c r="E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</row>
    <row r="406" spans="5:18" x14ac:dyDescent="0.25">
      <c r="E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</row>
    <row r="407" spans="5:18" x14ac:dyDescent="0.25">
      <c r="E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</row>
    <row r="408" spans="5:18" x14ac:dyDescent="0.25">
      <c r="E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</row>
    <row r="409" spans="5:18" x14ac:dyDescent="0.25">
      <c r="E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</row>
    <row r="410" spans="5:18" x14ac:dyDescent="0.25">
      <c r="E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</row>
    <row r="411" spans="5:18" x14ac:dyDescent="0.25">
      <c r="E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</row>
    <row r="412" spans="5:18" x14ac:dyDescent="0.25">
      <c r="E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</row>
    <row r="413" spans="5:18" x14ac:dyDescent="0.25">
      <c r="E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</row>
    <row r="414" spans="5:18" x14ac:dyDescent="0.25">
      <c r="E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</row>
    <row r="415" spans="5:18" x14ac:dyDescent="0.25">
      <c r="E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</row>
    <row r="416" spans="5:18" x14ac:dyDescent="0.25">
      <c r="E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</row>
    <row r="417" spans="5:18" x14ac:dyDescent="0.25">
      <c r="E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</row>
    <row r="418" spans="5:18" x14ac:dyDescent="0.25">
      <c r="E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</row>
    <row r="419" spans="5:18" x14ac:dyDescent="0.25">
      <c r="E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</row>
    <row r="420" spans="5:18" x14ac:dyDescent="0.25">
      <c r="E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</row>
    <row r="421" spans="5:18" x14ac:dyDescent="0.25">
      <c r="E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</row>
    <row r="422" spans="5:18" x14ac:dyDescent="0.25">
      <c r="E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</row>
    <row r="423" spans="5:18" x14ac:dyDescent="0.25">
      <c r="E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</row>
    <row r="424" spans="5:18" x14ac:dyDescent="0.25">
      <c r="E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</row>
    <row r="425" spans="5:18" x14ac:dyDescent="0.25">
      <c r="E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</row>
    <row r="426" spans="5:18" x14ac:dyDescent="0.25">
      <c r="E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</row>
    <row r="427" spans="5:18" x14ac:dyDescent="0.25">
      <c r="E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</row>
    <row r="428" spans="5:18" x14ac:dyDescent="0.25">
      <c r="E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</row>
    <row r="429" spans="5:18" x14ac:dyDescent="0.25">
      <c r="E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</row>
    <row r="430" spans="5:18" x14ac:dyDescent="0.25">
      <c r="E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</row>
    <row r="431" spans="5:18" x14ac:dyDescent="0.25">
      <c r="E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</row>
    <row r="432" spans="5:18" x14ac:dyDescent="0.25">
      <c r="E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</row>
    <row r="433" spans="5:18" x14ac:dyDescent="0.25">
      <c r="E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</row>
    <row r="434" spans="5:18" x14ac:dyDescent="0.25">
      <c r="E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</row>
    <row r="435" spans="5:18" x14ac:dyDescent="0.25">
      <c r="E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</row>
    <row r="436" spans="5:18" x14ac:dyDescent="0.25">
      <c r="E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</row>
    <row r="437" spans="5:18" x14ac:dyDescent="0.25">
      <c r="E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</row>
    <row r="438" spans="5:18" x14ac:dyDescent="0.25">
      <c r="E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</row>
    <row r="439" spans="5:18" x14ac:dyDescent="0.25">
      <c r="E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</row>
    <row r="440" spans="5:18" x14ac:dyDescent="0.25">
      <c r="E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</row>
    <row r="441" spans="5:18" x14ac:dyDescent="0.25">
      <c r="E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</row>
    <row r="442" spans="5:18" x14ac:dyDescent="0.25">
      <c r="E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</row>
    <row r="443" spans="5:18" x14ac:dyDescent="0.25">
      <c r="E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</row>
    <row r="444" spans="5:18" x14ac:dyDescent="0.25">
      <c r="E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</row>
    <row r="445" spans="5:18" x14ac:dyDescent="0.25">
      <c r="E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</row>
    <row r="446" spans="5:18" x14ac:dyDescent="0.25">
      <c r="E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</row>
    <row r="447" spans="5:18" x14ac:dyDescent="0.25">
      <c r="E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</row>
    <row r="448" spans="5:18" x14ac:dyDescent="0.25">
      <c r="E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</row>
    <row r="449" spans="5:18" x14ac:dyDescent="0.25">
      <c r="E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</row>
    <row r="450" spans="5:18" x14ac:dyDescent="0.25">
      <c r="E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</row>
    <row r="451" spans="5:18" x14ac:dyDescent="0.25">
      <c r="E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</row>
    <row r="452" spans="5:18" x14ac:dyDescent="0.25">
      <c r="E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</row>
    <row r="453" spans="5:18" x14ac:dyDescent="0.25">
      <c r="E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</row>
    <row r="454" spans="5:18" x14ac:dyDescent="0.25">
      <c r="E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</row>
    <row r="455" spans="5:18" x14ac:dyDescent="0.25">
      <c r="E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</row>
    <row r="456" spans="5:18" x14ac:dyDescent="0.25">
      <c r="E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</row>
    <row r="457" spans="5:18" x14ac:dyDescent="0.25">
      <c r="E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</row>
    <row r="458" spans="5:18" x14ac:dyDescent="0.25">
      <c r="E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</row>
    <row r="459" spans="5:18" x14ac:dyDescent="0.25">
      <c r="E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</row>
    <row r="460" spans="5:18" x14ac:dyDescent="0.25">
      <c r="E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</row>
    <row r="461" spans="5:18" x14ac:dyDescent="0.25">
      <c r="E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</row>
    <row r="462" spans="5:18" x14ac:dyDescent="0.25">
      <c r="E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</row>
    <row r="463" spans="5:18" x14ac:dyDescent="0.25">
      <c r="E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</row>
    <row r="464" spans="5:18" x14ac:dyDescent="0.25">
      <c r="E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</row>
    <row r="465" spans="5:18" x14ac:dyDescent="0.25">
      <c r="E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</row>
    <row r="466" spans="5:18" x14ac:dyDescent="0.25">
      <c r="E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</row>
    <row r="467" spans="5:18" x14ac:dyDescent="0.25">
      <c r="E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</row>
    <row r="468" spans="5:18" x14ac:dyDescent="0.25">
      <c r="E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</row>
    <row r="469" spans="5:18" x14ac:dyDescent="0.25">
      <c r="E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</row>
    <row r="470" spans="5:18" x14ac:dyDescent="0.25">
      <c r="E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</row>
    <row r="471" spans="5:18" x14ac:dyDescent="0.25">
      <c r="E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</row>
    <row r="472" spans="5:18" x14ac:dyDescent="0.25">
      <c r="E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</row>
    <row r="473" spans="5:18" x14ac:dyDescent="0.25">
      <c r="E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</row>
    <row r="474" spans="5:18" x14ac:dyDescent="0.25">
      <c r="E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</row>
    <row r="475" spans="5:18" x14ac:dyDescent="0.25">
      <c r="E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</row>
    <row r="476" spans="5:18" x14ac:dyDescent="0.25">
      <c r="E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</row>
    <row r="477" spans="5:18" x14ac:dyDescent="0.25">
      <c r="E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</row>
    <row r="478" spans="5:18" x14ac:dyDescent="0.25">
      <c r="E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</row>
    <row r="479" spans="5:18" x14ac:dyDescent="0.25">
      <c r="E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</row>
    <row r="480" spans="5:18" x14ac:dyDescent="0.25">
      <c r="E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</row>
    <row r="481" spans="5:18" x14ac:dyDescent="0.25">
      <c r="E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</row>
    <row r="482" spans="5:18" x14ac:dyDescent="0.25">
      <c r="E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</row>
    <row r="483" spans="5:18" x14ac:dyDescent="0.25">
      <c r="E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</row>
    <row r="484" spans="5:18" x14ac:dyDescent="0.25">
      <c r="E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</row>
    <row r="485" spans="5:18" x14ac:dyDescent="0.25">
      <c r="E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</row>
    <row r="486" spans="5:18" x14ac:dyDescent="0.25">
      <c r="E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</row>
    <row r="487" spans="5:18" x14ac:dyDescent="0.25">
      <c r="E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</row>
    <row r="488" spans="5:18" x14ac:dyDescent="0.25">
      <c r="E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</row>
    <row r="489" spans="5:18" x14ac:dyDescent="0.25">
      <c r="E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</row>
    <row r="490" spans="5:18" x14ac:dyDescent="0.25">
      <c r="E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</row>
    <row r="491" spans="5:18" x14ac:dyDescent="0.25">
      <c r="E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</row>
    <row r="492" spans="5:18" x14ac:dyDescent="0.25">
      <c r="E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</row>
    <row r="493" spans="5:18" x14ac:dyDescent="0.25">
      <c r="E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</row>
    <row r="494" spans="5:18" x14ac:dyDescent="0.25">
      <c r="E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</row>
    <row r="495" spans="5:18" x14ac:dyDescent="0.25">
      <c r="E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</row>
    <row r="496" spans="5:18" x14ac:dyDescent="0.25">
      <c r="E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</row>
    <row r="497" spans="5:18" x14ac:dyDescent="0.25">
      <c r="E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</row>
    <row r="498" spans="5:18" x14ac:dyDescent="0.25">
      <c r="E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</row>
    <row r="499" spans="5:18" x14ac:dyDescent="0.25">
      <c r="E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</row>
    <row r="500" spans="5:18" x14ac:dyDescent="0.25">
      <c r="E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</row>
    <row r="501" spans="5:18" x14ac:dyDescent="0.25">
      <c r="E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</row>
    <row r="502" spans="5:18" x14ac:dyDescent="0.25">
      <c r="E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</row>
    <row r="503" spans="5:18" x14ac:dyDescent="0.25">
      <c r="E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</row>
    <row r="504" spans="5:18" x14ac:dyDescent="0.25">
      <c r="E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</row>
  </sheetData>
  <mergeCells count="2">
    <mergeCell ref="A1:S1"/>
    <mergeCell ref="A2:S2"/>
  </mergeCells>
  <dataValidations count="4">
    <dataValidation type="list" allowBlank="1" sqref="E10:E504">
      <formula1>"Sled,ATV,Quad,Cart,Ski,Other"</formula1>
    </dataValidation>
    <dataValidation type="list" allowBlank="1" sqref="E5:E504">
      <formula1>"Sled,ATV,Quad,Cart,Ski,Other"</formula1>
    </dataValidation>
    <dataValidation type="list" allowBlank="1" sqref="G10:R504">
      <formula1>$T$5:$T$504</formula1>
    </dataValidation>
    <dataValidation type="list" allowBlank="1" sqref="G5:R504">
      <formula1>$T$5:$T$504</formula1>
    </dataValidation>
  </dataValidation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F6E5A"/>
    <pageSetUpPr fitToPage="1"/>
  </sheetPr>
  <dimension ref="A1:Q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style="16" customWidth="1"/>
    <col min="2" max="2" width="11" style="16" customWidth="1"/>
    <col min="3" max="3" width="14" style="15" customWidth="1"/>
    <col min="4" max="5" width="15" style="16" customWidth="1"/>
    <col min="6" max="7" width="16" style="16" customWidth="1"/>
    <col min="8" max="8" width="9" style="16" customWidth="1"/>
    <col min="9" max="9" width="14" style="15" customWidth="1"/>
    <col min="10" max="10" width="11" style="16" customWidth="1"/>
    <col min="11" max="11" width="13" style="28" customWidth="1"/>
    <col min="12" max="12" width="9" style="29" customWidth="1"/>
    <col min="13" max="13" width="14" style="30" customWidth="1"/>
    <col min="14" max="14" width="11" style="29" customWidth="1"/>
    <col min="15" max="15" width="15" style="28" customWidth="1"/>
    <col min="16" max="16" width="38" style="16" customWidth="1"/>
    <col min="17" max="17" width="14" style="29" customWidth="1"/>
  </cols>
  <sheetData>
    <row r="1" ht="36" customHeight="1" spans="1:17" x14ac:dyDescent="0.25">
      <c r="A1" s="31" t="s">
        <v>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ht="24" customHeight="1" spans="1:17" x14ac:dyDescent="0.25">
      <c r="A2" s="32" t="s">
        <v>61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4" ht="28" customHeight="1" spans="1:17" s="20" customFormat="1" x14ac:dyDescent="0.25">
      <c r="A4" s="22" t="s">
        <v>6</v>
      </c>
      <c r="B4" s="22" t="s">
        <v>62</v>
      </c>
      <c r="C4" s="21" t="s">
        <v>63</v>
      </c>
      <c r="D4" s="22" t="s">
        <v>64</v>
      </c>
      <c r="E4" s="22" t="s">
        <v>65</v>
      </c>
      <c r="F4" s="22" t="s">
        <v>66</v>
      </c>
      <c r="G4" s="22" t="s">
        <v>67</v>
      </c>
      <c r="H4" s="22" t="s">
        <v>68</v>
      </c>
      <c r="I4" s="21" t="s">
        <v>69</v>
      </c>
      <c r="J4" s="22" t="s">
        <v>70</v>
      </c>
      <c r="K4" s="33" t="s">
        <v>7</v>
      </c>
      <c r="L4" s="34" t="s">
        <v>8</v>
      </c>
      <c r="M4" s="35" t="s">
        <v>9</v>
      </c>
      <c r="N4" s="34" t="s">
        <v>71</v>
      </c>
      <c r="O4" s="33" t="s">
        <v>72</v>
      </c>
      <c r="P4" s="22" t="s">
        <v>73</v>
      </c>
      <c r="Q4" s="34" t="s">
        <v>74</v>
      </c>
    </row>
    <row r="5" ht="22" customHeight="1" spans="1:17" x14ac:dyDescent="0.25">
      <c r="A5" s="27" t="s">
        <v>57</v>
      </c>
      <c r="B5" s="27" t="s">
        <v>75</v>
      </c>
      <c r="C5" s="36" t="s">
        <v>56</v>
      </c>
      <c r="D5" s="27" t="s">
        <v>42</v>
      </c>
      <c r="E5" s="27" t="s">
        <v>56</v>
      </c>
      <c r="F5" s="27" t="s">
        <v>76</v>
      </c>
      <c r="G5" s="37" t="s">
        <v>76</v>
      </c>
      <c r="H5" s="27">
        <v>3</v>
      </c>
      <c r="I5" s="36" t="s">
        <v>56</v>
      </c>
      <c r="J5" s="27" t="s">
        <v>77</v>
      </c>
      <c r="K5" s="38">
        <f>SUMIF('Dog Runs'!$C$5:$C$5004,A5,'Dog Runs'!$F$5:$F$5004)+SUMIF('Enter Training'!$G$5:$G$504,A5,'Enter Training'!$D$5:$D$504)+SUMIF('Enter Training'!$H$5:$H$504,A5,'Enter Training'!$D$5:$D$504)+SUMIF('Enter Training'!$I$5:$I$504,A5,'Enter Training'!$D$5:$D$504)+SUMIF('Enter Training'!$J$5:$J$504,A5,'Enter Training'!$D$5:$D$504)+SUMIF('Enter Training'!$K$5:$K$504,A5,'Enter Training'!$D$5:$D$504)+SUMIF('Enter Training'!$L$5:$L$504,A5,'Enter Training'!$D$5:$D$504)+SUMIF('Enter Training'!$M$5:$M$504,A5,'Enter Training'!$D$5:$D$504)+SUMIF('Enter Training'!$N$5:$N$504,A5,'Enter Training'!$D$5:$D$504)+SUMIF('Enter Training'!$O$5:$O$504,A5,'Enter Training'!$D$5:$D$504)+SUMIF('Enter Training'!$P$5:$P$504,A5,'Enter Training'!$D$5:$D$504)+SUMIF('Enter Training'!$Q$5:$Q$504,A5,'Enter Training'!$D$5:$D$504)+SUMIF('Enter Training'!$R$5:$R$504,A5,'Enter Training'!$D$5:$D$504)</f>
        <v>12</v>
      </c>
      <c r="L5" s="39">
        <f>COUNTIF('Dog Runs'!$C$5:$C$5004,A5)+COUNTIF('Enter Training'!$G$5:$G$504,A5)+COUNTIF('Enter Training'!$H$5:$H$504,A5)+COUNTIF('Enter Training'!$I$5:$I$504,A5)+COUNTIF('Enter Training'!$J$5:$J$504,A5)+COUNTIF('Enter Training'!$K$5:$K$504,A5)+COUNTIF('Enter Training'!$L$5:$L$504,A5)+COUNTIF('Enter Training'!$M$5:$M$504,A5)+COUNTIF('Enter Training'!$N$5:$N$504,A5)+COUNTIF('Enter Training'!$O$5:$O$504,A5)+COUNTIF('Enter Training'!$P$5:$P$504,A5)+COUNTIF('Enter Training'!$Q$5:$Q$504,A5)+COUNTIF('Enter Training'!$R$5:$R$504,A5)</f>
        <v>1</v>
      </c>
      <c r="M5" s="40">
        <f>IF(L5=0,"",MAX(IFERROR(LOOKUP(2,1/('Dog Runs'!$C$5:$C$5004=A5),'Dog Runs'!$B$5:$B$5004),0),IFERROR(LOOKUP(2,1/('Enter Training'!$G$5:$G$504=A5),'Enter Training'!$A$5:$A$504),0),IFERROR(LOOKUP(2,1/('Enter Training'!$H$5:$H$504=A5),'Enter Training'!$A$5:$A$504),0),IFERROR(LOOKUP(2,1/('Enter Training'!$I$5:$I$504=A5),'Enter Training'!$A$5:$A$504),0),IFERROR(LOOKUP(2,1/('Enter Training'!$J$5:$J$504=A5),'Enter Training'!$A$5:$A$504),0),IFERROR(LOOKUP(2,1/('Enter Training'!$K$5:$K$504=A5),'Enter Training'!$A$5:$A$504),0),IFERROR(LOOKUP(2,1/('Enter Training'!$L$5:$L$504=A5),'Enter Training'!$A$5:$A$504),0),IFERROR(LOOKUP(2,1/('Enter Training'!$M$5:$M$504=A5),'Enter Training'!$A$5:$A$504),0),IFERROR(LOOKUP(2,1/('Enter Training'!$N$5:$N$504=A5),'Enter Training'!$A$5:$A$504),0),IFERROR(LOOKUP(2,1/('Enter Training'!$O$5:$O$504=A5),'Enter Training'!$A$5:$A$504),0),IFERROR(LOOKUP(2,1/('Enter Training'!$P$5:$P$504=A5),'Enter Training'!$A$5:$A$504),0),IFERROR(LOOKUP(2,1/('Enter Training'!$Q$5:$Q$504=A5),'Enter Training'!$A$5:$A$504),0),IFERROR(LOOKUP(2,1/('Enter Training'!$R$5:$R$504=A5),'Enter Training'!$A$5:$A$504),0)))</f>
        <v>46259.5</v>
      </c>
      <c r="N5" s="39">
        <f>IF(M5="","",TODAY()-M5)</f>
        <v>2</v>
      </c>
      <c r="O5" s="38">
        <f>SUMIFS('Dog Runs'!$F$5:$F$5004,'Dog Runs'!$C$5:$C$5004,A5,'Dog Runs'!$B$5:$B$5004,"&gt;="&amp;TODAY()-30)+SUMIFS('Enter Training'!$D$5:$D$504,'Enter Training'!$G$5:$G$504,A5,'Enter Training'!$A$5:$A$504,"&gt;="&amp;TODAY()-30)+SUMIFS('Enter Training'!$D$5:$D$504,'Enter Training'!$H$5:$H$504,A5,'Enter Training'!$A$5:$A$504,"&gt;="&amp;TODAY()-30)+SUMIFS('Enter Training'!$D$5:$D$504,'Enter Training'!$I$5:$I$504,A5,'Enter Training'!$A$5:$A$504,"&gt;="&amp;TODAY()-30)+SUMIFS('Enter Training'!$D$5:$D$504,'Enter Training'!$J$5:$J$504,A5,'Enter Training'!$A$5:$A$504,"&gt;="&amp;TODAY()-30)+SUMIFS('Enter Training'!$D$5:$D$504,'Enter Training'!$K$5:$K$504,A5,'Enter Training'!$A$5:$A$504,"&gt;="&amp;TODAY()-30)+SUMIFS('Enter Training'!$D$5:$D$504,'Enter Training'!$L$5:$L$504,A5,'Enter Training'!$A$5:$A$504,"&gt;="&amp;TODAY()-30)+SUMIFS('Enter Training'!$D$5:$D$504,'Enter Training'!$M$5:$M$504,A5,'Enter Training'!$A$5:$A$504,"&gt;="&amp;TODAY()-30)+SUMIFS('Enter Training'!$D$5:$D$504,'Enter Training'!$N$5:$N$504,A5,'Enter Training'!$A$5:$A$504,"&gt;="&amp;TODAY()-30)+SUMIFS('Enter Training'!$D$5:$D$504,'Enter Training'!$O$5:$O$504,A5,'Enter Training'!$A$5:$A$504,"&gt;="&amp;TODAY()-30)+SUMIFS('Enter Training'!$D$5:$D$504,'Enter Training'!$P$5:$P$504,A5,'Enter Training'!$A$5:$A$504,"&gt;="&amp;TODAY()-30)+SUMIFS('Enter Training'!$D$5:$D$504,'Enter Training'!$Q$5:$Q$504,A5,'Enter Training'!$A$5:$A$504,"&gt;="&amp;TODAY()-30)+SUMIFS('Enter Training'!$D$5:$D$504,'Enter Training'!$R$5:$R$504,A5,'Enter Training'!$A$5:$A$504,"&gt;="&amp;TODAY()-30)</f>
        <v>12</v>
      </c>
      <c r="P5" s="27" t="s">
        <v>56</v>
      </c>
      <c r="Q5" s="39">
        <f>IF(J5="Yes","",COUNTIFS($J$5:$J$504,"No",$K$5:$K$504,"&lt;"&amp;K5)+COUNTIFS($J$5:J5,"No",$K$5:K5,K5,$A$5:A5,"&lt;="&amp;A5))</f>
        <v>3</v>
      </c>
    </row>
    <row r="6" ht="22" customHeight="1" spans="1:17" x14ac:dyDescent="0.25">
      <c r="A6" s="27" t="s">
        <v>58</v>
      </c>
      <c r="B6" s="27" t="s">
        <v>78</v>
      </c>
      <c r="C6" s="36" t="s">
        <v>56</v>
      </c>
      <c r="D6" s="27" t="s">
        <v>42</v>
      </c>
      <c r="E6" s="27" t="s">
        <v>56</v>
      </c>
      <c r="F6" s="27" t="s">
        <v>76</v>
      </c>
      <c r="G6" s="37" t="s">
        <v>76</v>
      </c>
      <c r="H6" s="27">
        <v>3</v>
      </c>
      <c r="I6" s="36" t="s">
        <v>56</v>
      </c>
      <c r="J6" s="27" t="s">
        <v>77</v>
      </c>
      <c r="K6" s="38">
        <f>SUMIF('Dog Runs'!$C$5:$C$5004,A6,'Dog Runs'!$F$5:$F$5004)+SUMIF('Enter Training'!$G$5:$G$504,A6,'Enter Training'!$D$5:$D$504)+SUMIF('Enter Training'!$H$5:$H$504,A6,'Enter Training'!$D$5:$D$504)+SUMIF('Enter Training'!$I$5:$I$504,A6,'Enter Training'!$D$5:$D$504)+SUMIF('Enter Training'!$J$5:$J$504,A6,'Enter Training'!$D$5:$D$504)+SUMIF('Enter Training'!$K$5:$K$504,A6,'Enter Training'!$D$5:$D$504)+SUMIF('Enter Training'!$L$5:$L$504,A6,'Enter Training'!$D$5:$D$504)+SUMIF('Enter Training'!$M$5:$M$504,A6,'Enter Training'!$D$5:$D$504)+SUMIF('Enter Training'!$N$5:$N$504,A6,'Enter Training'!$D$5:$D$504)+SUMIF('Enter Training'!$O$5:$O$504,A6,'Enter Training'!$D$5:$D$504)+SUMIF('Enter Training'!$P$5:$P$504,A6,'Enter Training'!$D$5:$D$504)+SUMIF('Enter Training'!$Q$5:$Q$504,A6,'Enter Training'!$D$5:$D$504)+SUMIF('Enter Training'!$R$5:$R$504,A6,'Enter Training'!$D$5:$D$504)</f>
        <v>12</v>
      </c>
      <c r="L6" s="39">
        <f>COUNTIF('Dog Runs'!$C$5:$C$5004,A6)+COUNTIF('Enter Training'!$G$5:$G$504,A6)+COUNTIF('Enter Training'!$H$5:$H$504,A6)+COUNTIF('Enter Training'!$I$5:$I$504,A6)+COUNTIF('Enter Training'!$J$5:$J$504,A6)+COUNTIF('Enter Training'!$K$5:$K$504,A6)+COUNTIF('Enter Training'!$L$5:$L$504,A6)+COUNTIF('Enter Training'!$M$5:$M$504,A6)+COUNTIF('Enter Training'!$N$5:$N$504,A6)+COUNTIF('Enter Training'!$O$5:$O$504,A6)+COUNTIF('Enter Training'!$P$5:$P$504,A6)+COUNTIF('Enter Training'!$Q$5:$Q$504,A6)+COUNTIF('Enter Training'!$R$5:$R$504,A6)</f>
        <v>1</v>
      </c>
      <c r="M6" s="40">
        <f>IF(L6=0,"",MAX(IFERROR(LOOKUP(2,1/('Dog Runs'!$C$5:$C$5004=A6),'Dog Runs'!$B$5:$B$5004),0),IFERROR(LOOKUP(2,1/('Enter Training'!$G$5:$G$504=A6),'Enter Training'!$A$5:$A$504),0),IFERROR(LOOKUP(2,1/('Enter Training'!$H$5:$H$504=A6),'Enter Training'!$A$5:$A$504),0),IFERROR(LOOKUP(2,1/('Enter Training'!$I$5:$I$504=A6),'Enter Training'!$A$5:$A$504),0),IFERROR(LOOKUP(2,1/('Enter Training'!$J$5:$J$504=A6),'Enter Training'!$A$5:$A$504),0),IFERROR(LOOKUP(2,1/('Enter Training'!$K$5:$K$504=A6),'Enter Training'!$A$5:$A$504),0),IFERROR(LOOKUP(2,1/('Enter Training'!$L$5:$L$504=A6),'Enter Training'!$A$5:$A$504),0),IFERROR(LOOKUP(2,1/('Enter Training'!$M$5:$M$504=A6),'Enter Training'!$A$5:$A$504),0),IFERROR(LOOKUP(2,1/('Enter Training'!$N$5:$N$504=A6),'Enter Training'!$A$5:$A$504),0),IFERROR(LOOKUP(2,1/('Enter Training'!$O$5:$O$504=A6),'Enter Training'!$A$5:$A$504),0),IFERROR(LOOKUP(2,1/('Enter Training'!$P$5:$P$504=A6),'Enter Training'!$A$5:$A$504),0),IFERROR(LOOKUP(2,1/('Enter Training'!$Q$5:$Q$504=A6),'Enter Training'!$A$5:$A$504),0),IFERROR(LOOKUP(2,1/('Enter Training'!$R$5:$R$504=A6),'Enter Training'!$A$5:$A$504),0)))</f>
        <v>46259.5</v>
      </c>
      <c r="N6" s="39">
        <f>IF(M6="","",TODAY()-M6)</f>
        <v>2</v>
      </c>
      <c r="O6" s="38">
        <f>SUMIFS('Dog Runs'!$F$5:$F$5004,'Dog Runs'!$C$5:$C$5004,A6,'Dog Runs'!$B$5:$B$5004,"&gt;="&amp;TODAY()-30)+SUMIFS('Enter Training'!$D$5:$D$504,'Enter Training'!$G$5:$G$504,A6,'Enter Training'!$A$5:$A$504,"&gt;="&amp;TODAY()-30)+SUMIFS('Enter Training'!$D$5:$D$504,'Enter Training'!$H$5:$H$504,A6,'Enter Training'!$A$5:$A$504,"&gt;="&amp;TODAY()-30)+SUMIFS('Enter Training'!$D$5:$D$504,'Enter Training'!$I$5:$I$504,A6,'Enter Training'!$A$5:$A$504,"&gt;="&amp;TODAY()-30)+SUMIFS('Enter Training'!$D$5:$D$504,'Enter Training'!$J$5:$J$504,A6,'Enter Training'!$A$5:$A$504,"&gt;="&amp;TODAY()-30)+SUMIFS('Enter Training'!$D$5:$D$504,'Enter Training'!$K$5:$K$504,A6,'Enter Training'!$A$5:$A$504,"&gt;="&amp;TODAY()-30)+SUMIFS('Enter Training'!$D$5:$D$504,'Enter Training'!$L$5:$L$504,A6,'Enter Training'!$A$5:$A$504,"&gt;="&amp;TODAY()-30)+SUMIFS('Enter Training'!$D$5:$D$504,'Enter Training'!$M$5:$M$504,A6,'Enter Training'!$A$5:$A$504,"&gt;="&amp;TODAY()-30)+SUMIFS('Enter Training'!$D$5:$D$504,'Enter Training'!$N$5:$N$504,A6,'Enter Training'!$A$5:$A$504,"&gt;="&amp;TODAY()-30)+SUMIFS('Enter Training'!$D$5:$D$504,'Enter Training'!$O$5:$O$504,A6,'Enter Training'!$A$5:$A$504,"&gt;="&amp;TODAY()-30)+SUMIFS('Enter Training'!$D$5:$D$504,'Enter Training'!$P$5:$P$504,A6,'Enter Training'!$A$5:$A$504,"&gt;="&amp;TODAY()-30)+SUMIFS('Enter Training'!$D$5:$D$504,'Enter Training'!$Q$5:$Q$504,A6,'Enter Training'!$A$5:$A$504,"&gt;="&amp;TODAY()-30)+SUMIFS('Enter Training'!$D$5:$D$504,'Enter Training'!$R$5:$R$504,A6,'Enter Training'!$A$5:$A$504,"&gt;="&amp;TODAY()-30)</f>
        <v>12</v>
      </c>
      <c r="P6" s="27" t="s">
        <v>56</v>
      </c>
      <c r="Q6" s="39">
        <f>IF(J6="Yes","",COUNTIFS($J$5:$J$504,"No",$K$5:$K$504,"&lt;"&amp;K6)+COUNTIFS($J$5:J6,"No",$K$5:K6,K6,$A$5:A6,"&lt;="&amp;A6))</f>
        <v>2</v>
      </c>
    </row>
    <row r="7" ht="22" customHeight="1" spans="1:17" x14ac:dyDescent="0.25">
      <c r="A7" s="27" t="s">
        <v>59</v>
      </c>
      <c r="B7" s="27" t="s">
        <v>78</v>
      </c>
      <c r="C7" s="36" t="s">
        <v>56</v>
      </c>
      <c r="D7" s="27" t="s">
        <v>42</v>
      </c>
      <c r="E7" s="27" t="s">
        <v>56</v>
      </c>
      <c r="F7" s="27" t="s">
        <v>76</v>
      </c>
      <c r="G7" s="37" t="s">
        <v>76</v>
      </c>
      <c r="H7" s="27">
        <v>3</v>
      </c>
      <c r="I7" s="36" t="s">
        <v>56</v>
      </c>
      <c r="J7" s="27" t="s">
        <v>77</v>
      </c>
      <c r="K7" s="38">
        <f>SUMIF('Dog Runs'!$C$5:$C$5004,A7,'Dog Runs'!$F$5:$F$5004)+SUMIF('Enter Training'!$G$5:$G$504,A7,'Enter Training'!$D$5:$D$504)+SUMIF('Enter Training'!$H$5:$H$504,A7,'Enter Training'!$D$5:$D$504)+SUMIF('Enter Training'!$I$5:$I$504,A7,'Enter Training'!$D$5:$D$504)+SUMIF('Enter Training'!$J$5:$J$504,A7,'Enter Training'!$D$5:$D$504)+SUMIF('Enter Training'!$K$5:$K$504,A7,'Enter Training'!$D$5:$D$504)+SUMIF('Enter Training'!$L$5:$L$504,A7,'Enter Training'!$D$5:$D$504)+SUMIF('Enter Training'!$M$5:$M$504,A7,'Enter Training'!$D$5:$D$504)+SUMIF('Enter Training'!$N$5:$N$504,A7,'Enter Training'!$D$5:$D$504)+SUMIF('Enter Training'!$O$5:$O$504,A7,'Enter Training'!$D$5:$D$504)+SUMIF('Enter Training'!$P$5:$P$504,A7,'Enter Training'!$D$5:$D$504)+SUMIF('Enter Training'!$Q$5:$Q$504,A7,'Enter Training'!$D$5:$D$504)+SUMIF('Enter Training'!$R$5:$R$504,A7,'Enter Training'!$D$5:$D$504)</f>
        <v>12</v>
      </c>
      <c r="L7" s="39">
        <f>COUNTIF('Dog Runs'!$C$5:$C$5004,A7)+COUNTIF('Enter Training'!$G$5:$G$504,A7)+COUNTIF('Enter Training'!$H$5:$H$504,A7)+COUNTIF('Enter Training'!$I$5:$I$504,A7)+COUNTIF('Enter Training'!$J$5:$J$504,A7)+COUNTIF('Enter Training'!$K$5:$K$504,A7)+COUNTIF('Enter Training'!$L$5:$L$504,A7)+COUNTIF('Enter Training'!$M$5:$M$504,A7)+COUNTIF('Enter Training'!$N$5:$N$504,A7)+COUNTIF('Enter Training'!$O$5:$O$504,A7)+COUNTIF('Enter Training'!$P$5:$P$504,A7)+COUNTIF('Enter Training'!$Q$5:$Q$504,A7)+COUNTIF('Enter Training'!$R$5:$R$504,A7)</f>
        <v>1</v>
      </c>
      <c r="M7" s="40">
        <f>IF(L7=0,"",MAX(IFERROR(LOOKUP(2,1/('Dog Runs'!$C$5:$C$5004=A7),'Dog Runs'!$B$5:$B$5004),0),IFERROR(LOOKUP(2,1/('Enter Training'!$G$5:$G$504=A7),'Enter Training'!$A$5:$A$504),0),IFERROR(LOOKUP(2,1/('Enter Training'!$H$5:$H$504=A7),'Enter Training'!$A$5:$A$504),0),IFERROR(LOOKUP(2,1/('Enter Training'!$I$5:$I$504=A7),'Enter Training'!$A$5:$A$504),0),IFERROR(LOOKUP(2,1/('Enter Training'!$J$5:$J$504=A7),'Enter Training'!$A$5:$A$504),0),IFERROR(LOOKUP(2,1/('Enter Training'!$K$5:$K$504=A7),'Enter Training'!$A$5:$A$504),0),IFERROR(LOOKUP(2,1/('Enter Training'!$L$5:$L$504=A7),'Enter Training'!$A$5:$A$504),0),IFERROR(LOOKUP(2,1/('Enter Training'!$M$5:$M$504=A7),'Enter Training'!$A$5:$A$504),0),IFERROR(LOOKUP(2,1/('Enter Training'!$N$5:$N$504=A7),'Enter Training'!$A$5:$A$504),0),IFERROR(LOOKUP(2,1/('Enter Training'!$O$5:$O$504=A7),'Enter Training'!$A$5:$A$504),0),IFERROR(LOOKUP(2,1/('Enter Training'!$P$5:$P$504=A7),'Enter Training'!$A$5:$A$504),0),IFERROR(LOOKUP(2,1/('Enter Training'!$Q$5:$Q$504=A7),'Enter Training'!$A$5:$A$504),0),IFERROR(LOOKUP(2,1/('Enter Training'!$R$5:$R$504=A7),'Enter Training'!$A$5:$A$504),0)))</f>
        <v>46259.5</v>
      </c>
      <c r="N7" s="39">
        <f>IF(M7="","",TODAY()-M7)</f>
        <v>2</v>
      </c>
      <c r="O7" s="38">
        <f>SUMIFS('Dog Runs'!$F$5:$F$5004,'Dog Runs'!$C$5:$C$5004,A7,'Dog Runs'!$B$5:$B$5004,"&gt;="&amp;TODAY()-30)+SUMIFS('Enter Training'!$D$5:$D$504,'Enter Training'!$G$5:$G$504,A7,'Enter Training'!$A$5:$A$504,"&gt;="&amp;TODAY()-30)+SUMIFS('Enter Training'!$D$5:$D$504,'Enter Training'!$H$5:$H$504,A7,'Enter Training'!$A$5:$A$504,"&gt;="&amp;TODAY()-30)+SUMIFS('Enter Training'!$D$5:$D$504,'Enter Training'!$I$5:$I$504,A7,'Enter Training'!$A$5:$A$504,"&gt;="&amp;TODAY()-30)+SUMIFS('Enter Training'!$D$5:$D$504,'Enter Training'!$J$5:$J$504,A7,'Enter Training'!$A$5:$A$504,"&gt;="&amp;TODAY()-30)+SUMIFS('Enter Training'!$D$5:$D$504,'Enter Training'!$K$5:$K$504,A7,'Enter Training'!$A$5:$A$504,"&gt;="&amp;TODAY()-30)+SUMIFS('Enter Training'!$D$5:$D$504,'Enter Training'!$L$5:$L$504,A7,'Enter Training'!$A$5:$A$504,"&gt;="&amp;TODAY()-30)+SUMIFS('Enter Training'!$D$5:$D$504,'Enter Training'!$M$5:$M$504,A7,'Enter Training'!$A$5:$A$504,"&gt;="&amp;TODAY()-30)+SUMIFS('Enter Training'!$D$5:$D$504,'Enter Training'!$N$5:$N$504,A7,'Enter Training'!$A$5:$A$504,"&gt;="&amp;TODAY()-30)+SUMIFS('Enter Training'!$D$5:$D$504,'Enter Training'!$O$5:$O$504,A7,'Enter Training'!$A$5:$A$504,"&gt;="&amp;TODAY()-30)+SUMIFS('Enter Training'!$D$5:$D$504,'Enter Training'!$P$5:$P$504,A7,'Enter Training'!$A$5:$A$504,"&gt;="&amp;TODAY()-30)+SUMIFS('Enter Training'!$D$5:$D$504,'Enter Training'!$Q$5:$Q$504,A7,'Enter Training'!$A$5:$A$504,"&gt;="&amp;TODAY()-30)+SUMIFS('Enter Training'!$D$5:$D$504,'Enter Training'!$R$5:$R$504,A7,'Enter Training'!$A$5:$A$504,"&gt;="&amp;TODAY()-30)</f>
        <v>12</v>
      </c>
      <c r="P7" s="27" t="s">
        <v>56</v>
      </c>
      <c r="Q7" s="39">
        <f>IF(J7="Yes","",COUNTIFS($J$5:$J$504,"No",$K$5:$K$504,"&lt;"&amp;K7)+COUNTIFS($J$5:J7,"No",$K$5:K7,K7,$A$5:A7,"&lt;="&amp;A7))</f>
        <v>1</v>
      </c>
    </row>
    <row r="8" ht="22" customHeight="1" spans="1:17" x14ac:dyDescent="0.25">
      <c r="A8" s="27" t="s">
        <v>79</v>
      </c>
      <c r="B8" s="27" t="s">
        <v>78</v>
      </c>
      <c r="C8" s="36" t="s">
        <v>56</v>
      </c>
      <c r="D8" s="27" t="s">
        <v>42</v>
      </c>
      <c r="E8" s="27" t="s">
        <v>56</v>
      </c>
      <c r="F8" s="27" t="s">
        <v>76</v>
      </c>
      <c r="G8" s="37" t="s">
        <v>76</v>
      </c>
      <c r="H8" s="27">
        <v>3</v>
      </c>
      <c r="I8" s="36" t="s">
        <v>56</v>
      </c>
      <c r="J8" s="27" t="s">
        <v>80</v>
      </c>
      <c r="K8" s="38">
        <f>SUMIF('Dog Runs'!$C$5:$C$5004,A8,'Dog Runs'!$F$5:$F$5004)+SUMIF('Enter Training'!$G$5:$G$504,A8,'Enter Training'!$D$5:$D$504)+SUMIF('Enter Training'!$H$5:$H$504,A8,'Enter Training'!$D$5:$D$504)+SUMIF('Enter Training'!$I$5:$I$504,A8,'Enter Training'!$D$5:$D$504)+SUMIF('Enter Training'!$J$5:$J$504,A8,'Enter Training'!$D$5:$D$504)+SUMIF('Enter Training'!$K$5:$K$504,A8,'Enter Training'!$D$5:$D$504)+SUMIF('Enter Training'!$L$5:$L$504,A8,'Enter Training'!$D$5:$D$504)+SUMIF('Enter Training'!$M$5:$M$504,A8,'Enter Training'!$D$5:$D$504)+SUMIF('Enter Training'!$N$5:$N$504,A8,'Enter Training'!$D$5:$D$504)+SUMIF('Enter Training'!$O$5:$O$504,A8,'Enter Training'!$D$5:$D$504)+SUMIF('Enter Training'!$P$5:$P$504,A8,'Enter Training'!$D$5:$D$504)+SUMIF('Enter Training'!$Q$5:$Q$504,A8,'Enter Training'!$D$5:$D$504)+SUMIF('Enter Training'!$R$5:$R$504,A8,'Enter Training'!$D$5:$D$504)</f>
        <v>0</v>
      </c>
      <c r="L8" s="39">
        <f>COUNTIF('Dog Runs'!$C$5:$C$5004,A8)+COUNTIF('Enter Training'!$G$5:$G$504,A8)+COUNTIF('Enter Training'!$H$5:$H$504,A8)+COUNTIF('Enter Training'!$I$5:$I$504,A8)+COUNTIF('Enter Training'!$J$5:$J$504,A8)+COUNTIF('Enter Training'!$K$5:$K$504,A8)+COUNTIF('Enter Training'!$L$5:$L$504,A8)+COUNTIF('Enter Training'!$M$5:$M$504,A8)+COUNTIF('Enter Training'!$N$5:$N$504,A8)+COUNTIF('Enter Training'!$O$5:$O$504,A8)+COUNTIF('Enter Training'!$P$5:$P$504,A8)+COUNTIF('Enter Training'!$Q$5:$Q$504,A8)+COUNTIF('Enter Training'!$R$5:$R$504,A8)</f>
        <v>0</v>
      </c>
      <c r="M8" s="40" t="str">
        <f>IF(L8=0,"",MAX(IFERROR(LOOKUP(2,1/('Dog Runs'!$C$5:$C$5004=A8),'Dog Runs'!$B$5:$B$5004),0),IFERROR(LOOKUP(2,1/('Enter Training'!$G$5:$G$504=A8),'Enter Training'!$A$5:$A$504),0),IFERROR(LOOKUP(2,1/('Enter Training'!$H$5:$H$504=A8),'Enter Training'!$A$5:$A$504),0),IFERROR(LOOKUP(2,1/('Enter Training'!$I$5:$I$504=A8),'Enter Training'!$A$5:$A$504),0),IFERROR(LOOKUP(2,1/('Enter Training'!$J$5:$J$504=A8),'Enter Training'!$A$5:$A$504),0),IFERROR(LOOKUP(2,1/('Enter Training'!$K$5:$K$504=A8),'Enter Training'!$A$5:$A$504),0),IFERROR(LOOKUP(2,1/('Enter Training'!$L$5:$L$504=A8),'Enter Training'!$A$5:$A$504),0),IFERROR(LOOKUP(2,1/('Enter Training'!$M$5:$M$504=A8),'Enter Training'!$A$5:$A$504),0),IFERROR(LOOKUP(2,1/('Enter Training'!$N$5:$N$504=A8),'Enter Training'!$A$5:$A$504),0),IFERROR(LOOKUP(2,1/('Enter Training'!$O$5:$O$504=A8),'Enter Training'!$A$5:$A$504),0),IFERROR(LOOKUP(2,1/('Enter Training'!$P$5:$P$504=A8),'Enter Training'!$A$5:$A$504),0),IFERROR(LOOKUP(2,1/('Enter Training'!$Q$5:$Q$504=A8),'Enter Training'!$A$5:$A$504),0),IFERROR(LOOKUP(2,1/('Enter Training'!$R$5:$R$504=A8),'Enter Training'!$A$5:$A$504),0)))</f>
        <v/>
      </c>
      <c r="N8" s="39" t="str">
        <f>IF(M8="","",TODAY()-M8)</f>
        <v/>
      </c>
      <c r="O8" s="38">
        <f>SUMIFS('Dog Runs'!$F$5:$F$5004,'Dog Runs'!$C$5:$C$5004,A8,'Dog Runs'!$B$5:$B$5004,"&gt;="&amp;TODAY()-30)+SUMIFS('Enter Training'!$D$5:$D$504,'Enter Training'!$G$5:$G$504,A8,'Enter Training'!$A$5:$A$504,"&gt;="&amp;TODAY()-30)+SUMIFS('Enter Training'!$D$5:$D$504,'Enter Training'!$H$5:$H$504,A8,'Enter Training'!$A$5:$A$504,"&gt;="&amp;TODAY()-30)+SUMIFS('Enter Training'!$D$5:$D$504,'Enter Training'!$I$5:$I$504,A8,'Enter Training'!$A$5:$A$504,"&gt;="&amp;TODAY()-30)+SUMIFS('Enter Training'!$D$5:$D$504,'Enter Training'!$J$5:$J$504,A8,'Enter Training'!$A$5:$A$504,"&gt;="&amp;TODAY()-30)+SUMIFS('Enter Training'!$D$5:$D$504,'Enter Training'!$K$5:$K$504,A8,'Enter Training'!$A$5:$A$504,"&gt;="&amp;TODAY()-30)+SUMIFS('Enter Training'!$D$5:$D$504,'Enter Training'!$L$5:$L$504,A8,'Enter Training'!$A$5:$A$504,"&gt;="&amp;TODAY()-30)+SUMIFS('Enter Training'!$D$5:$D$504,'Enter Training'!$M$5:$M$504,A8,'Enter Training'!$A$5:$A$504,"&gt;="&amp;TODAY()-30)+SUMIFS('Enter Training'!$D$5:$D$504,'Enter Training'!$N$5:$N$504,A8,'Enter Training'!$A$5:$A$504,"&gt;="&amp;TODAY()-30)+SUMIFS('Enter Training'!$D$5:$D$504,'Enter Training'!$O$5:$O$504,A8,'Enter Training'!$A$5:$A$504,"&gt;="&amp;TODAY()-30)+SUMIFS('Enter Training'!$D$5:$D$504,'Enter Training'!$P$5:$P$504,A8,'Enter Training'!$A$5:$A$504,"&gt;="&amp;TODAY()-30)+SUMIFS('Enter Training'!$D$5:$D$504,'Enter Training'!$Q$5:$Q$504,A8,'Enter Training'!$A$5:$A$504,"&gt;="&amp;TODAY()-30)+SUMIFS('Enter Training'!$D$5:$D$504,'Enter Training'!$R$5:$R$504,A8,'Enter Training'!$A$5:$A$504,"&gt;="&amp;TODAY()-30)</f>
        <v>0</v>
      </c>
      <c r="P8" s="27" t="s">
        <v>56</v>
      </c>
      <c r="Q8" s="39" t="str">
        <f>IF(J8="Yes","",COUNTIFS($J$5:$J$504,"No",$K$5:$K$504,"&lt;"&amp;K8)+COUNTIFS($J$5:J8,"No",$K$5:K8,K8,$A$5:A8,"&lt;="&amp;A8))</f>
        <v/>
      </c>
    </row>
  </sheetData>
  <mergeCells count="2">
    <mergeCell ref="A1:Q1"/>
    <mergeCell ref="A2:Q2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E8FA3"/>
    <pageSetUpPr fitToPage="1"/>
  </sheetPr>
  <dimension ref="A1:K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style="16" customWidth="1"/>
    <col min="2" max="2" width="13" style="15" customWidth="1"/>
    <col min="3" max="3" width="20" style="16" customWidth="1"/>
    <col min="4" max="4" width="13" style="17" customWidth="1"/>
    <col min="5" max="5" width="13" style="16" customWidth="1"/>
    <col min="6" max="6" width="17" style="16" customWidth="1"/>
    <col min="7" max="7" width="18" style="16" customWidth="1"/>
    <col min="8" max="8" width="9" style="16" customWidth="1"/>
    <col min="9" max="9" width="50" style="16" customWidth="1"/>
    <col min="10" max="10" width="35" style="16" customWidth="1"/>
    <col min="11" max="11" width="22" style="16" customWidth="1"/>
  </cols>
  <sheetData>
    <row r="1" ht="36" customHeight="1" spans="1:11" x14ac:dyDescent="0.25">
      <c r="A1" s="18" t="s">
        <v>81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ht="24" customHeight="1" spans="1:11" x14ac:dyDescent="0.25">
      <c r="A2" s="19" t="s">
        <v>82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ht="28" customHeight="1" spans="1:11" s="20" customFormat="1" x14ac:dyDescent="0.25">
      <c r="A4" s="22" t="s">
        <v>83</v>
      </c>
      <c r="B4" s="21" t="s">
        <v>37</v>
      </c>
      <c r="C4" s="22" t="s">
        <v>39</v>
      </c>
      <c r="D4" s="23" t="s">
        <v>40</v>
      </c>
      <c r="E4" s="22" t="s">
        <v>41</v>
      </c>
      <c r="F4" s="22" t="s">
        <v>38</v>
      </c>
      <c r="G4" s="22" t="s">
        <v>42</v>
      </c>
      <c r="H4" s="22" t="s">
        <v>60</v>
      </c>
      <c r="I4" s="22" t="s">
        <v>84</v>
      </c>
      <c r="J4" s="22" t="s">
        <v>55</v>
      </c>
      <c r="K4" s="22" t="s">
        <v>85</v>
      </c>
    </row>
    <row r="5" ht="22" customHeight="1" spans="1:11" x14ac:dyDescent="0.25">
      <c r="A5" s="27" t="s">
        <v>86</v>
      </c>
      <c r="B5" s="36">
        <v>46259.5</v>
      </c>
      <c r="C5" s="27" t="s">
        <v>87</v>
      </c>
      <c r="D5" s="41">
        <v>12</v>
      </c>
      <c r="E5" s="27" t="s">
        <v>88</v>
      </c>
      <c r="F5" s="27" t="s">
        <v>89</v>
      </c>
      <c r="G5" s="27" t="s">
        <v>90</v>
      </c>
      <c r="H5" s="27">
        <v>3</v>
      </c>
      <c r="I5" s="27" t="s">
        <v>91</v>
      </c>
      <c r="J5" s="27" t="s">
        <v>92</v>
      </c>
      <c r="K5" s="27" t="s">
        <v>93</v>
      </c>
    </row>
  </sheetData>
  <mergeCells count="2">
    <mergeCell ref="A1:K1"/>
    <mergeCell ref="A2:K2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69F8C"/>
    <pageSetUpPr fitToPage="1"/>
  </sheetPr>
  <dimension ref="A1:Q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5" style="16" customWidth="1"/>
    <col min="2" max="2" width="13" style="15" customWidth="1"/>
    <col min="3" max="3" width="19" style="16" customWidth="1"/>
    <col min="4" max="4" width="10" style="16" customWidth="1"/>
    <col min="5" max="5" width="20" style="16" customWidth="1"/>
    <col min="6" max="6" width="13" style="17" customWidth="1"/>
    <col min="7" max="8" width="13" style="16" customWidth="1"/>
    <col min="9" max="9" width="17" style="16" customWidth="1"/>
    <col min="10" max="10" width="18" style="16" customWidth="1"/>
    <col min="11" max="11" width="9" style="16" customWidth="1"/>
    <col min="12" max="14" width="11" style="16" customWidth="1"/>
    <col min="15" max="15" width="24" style="16" customWidth="1"/>
    <col min="16" max="16" width="36" style="16" customWidth="1"/>
    <col min="17" max="17" width="13" style="16" customWidth="1"/>
  </cols>
  <sheetData>
    <row r="1" ht="36" customHeight="1" spans="1:17" x14ac:dyDescent="0.25">
      <c r="A1" s="18" t="s">
        <v>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ht="24" customHeight="1" spans="1:17" x14ac:dyDescent="0.25">
      <c r="A2" s="19" t="s">
        <v>95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4" ht="28" customHeight="1" spans="1:17" s="20" customFormat="1" x14ac:dyDescent="0.25">
      <c r="A4" s="22" t="s">
        <v>83</v>
      </c>
      <c r="B4" s="21" t="s">
        <v>37</v>
      </c>
      <c r="C4" s="22" t="s">
        <v>6</v>
      </c>
      <c r="D4" s="22" t="s">
        <v>62</v>
      </c>
      <c r="E4" s="22" t="s">
        <v>39</v>
      </c>
      <c r="F4" s="23" t="s">
        <v>40</v>
      </c>
      <c r="G4" s="22" t="s">
        <v>96</v>
      </c>
      <c r="H4" s="22" t="s">
        <v>41</v>
      </c>
      <c r="I4" s="22" t="s">
        <v>38</v>
      </c>
      <c r="J4" s="22" t="s">
        <v>42</v>
      </c>
      <c r="K4" s="22" t="s">
        <v>68</v>
      </c>
      <c r="L4" s="22" t="s">
        <v>97</v>
      </c>
      <c r="M4" s="22" t="s">
        <v>98</v>
      </c>
      <c r="N4" s="22" t="s">
        <v>99</v>
      </c>
      <c r="O4" s="22" t="s">
        <v>100</v>
      </c>
      <c r="P4" s="22" t="s">
        <v>101</v>
      </c>
      <c r="Q4" s="22" t="s">
        <v>102</v>
      </c>
    </row>
    <row r="5" ht="22" customHeight="1" spans="1:17" x14ac:dyDescent="0.25">
      <c r="A5" s="27" t="s">
        <v>86</v>
      </c>
      <c r="B5" s="36">
        <v>46259.5</v>
      </c>
      <c r="C5" s="27" t="s">
        <v>57</v>
      </c>
      <c r="D5" s="27" t="s">
        <v>75</v>
      </c>
      <c r="E5" s="27" t="s">
        <v>87</v>
      </c>
      <c r="F5" s="41">
        <v>12</v>
      </c>
      <c r="G5" s="27" t="s">
        <v>103</v>
      </c>
      <c r="H5" s="27" t="s">
        <v>88</v>
      </c>
      <c r="I5" s="27" t="s">
        <v>89</v>
      </c>
      <c r="J5" s="27" t="s">
        <v>90</v>
      </c>
      <c r="K5" s="27">
        <v>4</v>
      </c>
      <c r="L5" s="27" t="s">
        <v>77</v>
      </c>
      <c r="M5" s="27" t="s">
        <v>80</v>
      </c>
      <c r="N5" s="27" t="s">
        <v>77</v>
      </c>
      <c r="O5" s="27" t="s">
        <v>56</v>
      </c>
      <c r="P5" s="27" t="s">
        <v>56</v>
      </c>
      <c r="Q5" s="27" t="s">
        <v>77</v>
      </c>
    </row>
    <row r="6" ht="22" customHeight="1" spans="1:17" x14ac:dyDescent="0.25">
      <c r="A6" s="27" t="s">
        <v>86</v>
      </c>
      <c r="B6" s="36">
        <v>46259.5</v>
      </c>
      <c r="C6" s="27" t="s">
        <v>58</v>
      </c>
      <c r="D6" s="27" t="s">
        <v>78</v>
      </c>
      <c r="E6" s="27" t="s">
        <v>87</v>
      </c>
      <c r="F6" s="41">
        <v>12</v>
      </c>
      <c r="G6" s="27" t="s">
        <v>42</v>
      </c>
      <c r="H6" s="27" t="s">
        <v>88</v>
      </c>
      <c r="I6" s="27" t="s">
        <v>89</v>
      </c>
      <c r="J6" s="27" t="s">
        <v>90</v>
      </c>
      <c r="K6" s="27">
        <v>4</v>
      </c>
      <c r="L6" s="27" t="s">
        <v>77</v>
      </c>
      <c r="M6" s="27" t="s">
        <v>80</v>
      </c>
      <c r="N6" s="27" t="s">
        <v>77</v>
      </c>
      <c r="O6" s="27" t="s">
        <v>56</v>
      </c>
      <c r="P6" s="27" t="s">
        <v>56</v>
      </c>
      <c r="Q6" s="27" t="s">
        <v>77</v>
      </c>
    </row>
    <row r="7" ht="22" customHeight="1" spans="1:17" x14ac:dyDescent="0.25">
      <c r="A7" s="27" t="s">
        <v>86</v>
      </c>
      <c r="B7" s="36">
        <v>46259.5</v>
      </c>
      <c r="C7" s="27" t="s">
        <v>59</v>
      </c>
      <c r="D7" s="27" t="s">
        <v>78</v>
      </c>
      <c r="E7" s="27" t="s">
        <v>87</v>
      </c>
      <c r="F7" s="41">
        <v>12</v>
      </c>
      <c r="G7" s="27" t="s">
        <v>104</v>
      </c>
      <c r="H7" s="27" t="s">
        <v>88</v>
      </c>
      <c r="I7" s="27" t="s">
        <v>89</v>
      </c>
      <c r="J7" s="27" t="s">
        <v>90</v>
      </c>
      <c r="K7" s="27">
        <v>4</v>
      </c>
      <c r="L7" s="27" t="s">
        <v>77</v>
      </c>
      <c r="M7" s="27" t="s">
        <v>80</v>
      </c>
      <c r="N7" s="27" t="s">
        <v>77</v>
      </c>
      <c r="O7" s="27" t="s">
        <v>56</v>
      </c>
      <c r="P7" s="27" t="s">
        <v>56</v>
      </c>
      <c r="Q7" s="27" t="s">
        <v>77</v>
      </c>
    </row>
  </sheetData>
  <mergeCells count="2">
    <mergeCell ref="A1:Q1"/>
    <mergeCell ref="A2:Q2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85450"/>
    <pageSetUpPr fitToPage="1"/>
  </sheetPr>
  <dimension ref="A1:J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style="15" customWidth="1"/>
    <col min="2" max="2" width="20" style="16" customWidth="1"/>
    <col min="3" max="3" width="10" style="16" customWidth="1"/>
    <col min="4" max="4" width="18" style="16" customWidth="1"/>
    <col min="5" max="5" width="16" style="16" customWidth="1"/>
    <col min="6" max="6" width="45" style="16" customWidth="1"/>
    <col min="7" max="7" width="14" style="15" customWidth="1"/>
    <col min="8" max="8" width="16" style="16" customWidth="1"/>
    <col min="9" max="9" width="14" style="16" customWidth="1"/>
    <col min="10" max="10" width="22" style="16" customWidth="1"/>
  </cols>
  <sheetData>
    <row r="1" ht="36" customHeight="1" spans="1:10" x14ac:dyDescent="0.25">
      <c r="A1" s="42" t="s">
        <v>105</v>
      </c>
      <c r="B1" s="42"/>
      <c r="C1" s="42"/>
      <c r="D1" s="42"/>
      <c r="E1" s="42"/>
      <c r="F1" s="42"/>
      <c r="G1" s="42"/>
      <c r="H1" s="42"/>
      <c r="I1" s="42"/>
      <c r="J1" s="42"/>
    </row>
    <row r="2" ht="24" customHeight="1" spans="1:10" x14ac:dyDescent="0.25">
      <c r="A2" s="43" t="s">
        <v>106</v>
      </c>
      <c r="B2" s="43"/>
      <c r="C2" s="43"/>
      <c r="D2" s="43"/>
      <c r="E2" s="43"/>
      <c r="F2" s="43"/>
      <c r="G2" s="43"/>
      <c r="H2" s="43"/>
      <c r="I2" s="43"/>
      <c r="J2" s="43"/>
    </row>
    <row r="4" ht="28" customHeight="1" spans="1:10" s="20" customFormat="1" x14ac:dyDescent="0.25">
      <c r="A4" s="21" t="s">
        <v>37</v>
      </c>
      <c r="B4" s="22" t="s">
        <v>6</v>
      </c>
      <c r="C4" s="22" t="s">
        <v>62</v>
      </c>
      <c r="D4" s="22" t="s">
        <v>41</v>
      </c>
      <c r="E4" s="22" t="s">
        <v>107</v>
      </c>
      <c r="F4" s="22" t="s">
        <v>55</v>
      </c>
      <c r="G4" s="21" t="s">
        <v>108</v>
      </c>
      <c r="H4" s="22" t="s">
        <v>109</v>
      </c>
      <c r="I4" s="22" t="s">
        <v>102</v>
      </c>
      <c r="J4" s="22" t="s">
        <v>110</v>
      </c>
    </row>
    <row r="5" ht="22" customHeight="1" spans="1:10" x14ac:dyDescent="0.25">
      <c r="A5" s="36">
        <v>46258.5</v>
      </c>
      <c r="B5" s="27" t="s">
        <v>57</v>
      </c>
      <c r="C5" s="27" t="s">
        <v>75</v>
      </c>
      <c r="D5" s="27" t="s">
        <v>111</v>
      </c>
      <c r="E5" s="44" t="s">
        <v>112</v>
      </c>
      <c r="F5" s="27" t="s">
        <v>113</v>
      </c>
      <c r="G5" s="36">
        <v>46262.5</v>
      </c>
      <c r="H5" s="27" t="s">
        <v>77</v>
      </c>
      <c r="I5" s="27" t="s">
        <v>77</v>
      </c>
      <c r="J5" s="27" t="s">
        <v>56</v>
      </c>
    </row>
  </sheetData>
  <mergeCells count="2">
    <mergeCell ref="A1:J1"/>
    <mergeCell ref="A2:J2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9855A"/>
    <pageSetUpPr fitToPage="1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style="16" customWidth="1"/>
    <col min="2" max="2" width="18" style="16" customWidth="1"/>
    <col min="3" max="3" width="13" style="16" customWidth="1"/>
    <col min="4" max="4" width="15" style="16" customWidth="1"/>
    <col min="5" max="5" width="58" style="16" customWidth="1"/>
    <col min="6" max="6" width="38" style="16" customWidth="1"/>
  </cols>
  <sheetData>
    <row r="1" ht="36" customHeight="1" spans="1:6" x14ac:dyDescent="0.25">
      <c r="A1" s="45" t="s">
        <v>114</v>
      </c>
      <c r="B1" s="45"/>
      <c r="C1" s="45"/>
      <c r="D1" s="45"/>
      <c r="E1" s="45"/>
      <c r="F1" s="45"/>
    </row>
    <row r="2" ht="24" customHeight="1" spans="1:6" x14ac:dyDescent="0.25">
      <c r="A2" s="2" t="s">
        <v>115</v>
      </c>
      <c r="B2" s="2"/>
      <c r="C2" s="2"/>
      <c r="D2" s="2"/>
      <c r="E2" s="2"/>
      <c r="F2" s="2"/>
    </row>
    <row r="4" ht="28" customHeight="1" spans="1:6" s="20" customFormat="1" x14ac:dyDescent="0.25">
      <c r="A4" s="22" t="s">
        <v>42</v>
      </c>
      <c r="B4" s="22" t="s">
        <v>116</v>
      </c>
      <c r="C4" s="22" t="s">
        <v>2</v>
      </c>
      <c r="D4" s="22" t="s">
        <v>117</v>
      </c>
      <c r="E4" s="22" t="s">
        <v>118</v>
      </c>
      <c r="F4" s="22" t="s">
        <v>73</v>
      </c>
    </row>
    <row r="5" ht="22" customHeight="1" spans="1:6" x14ac:dyDescent="0.25">
      <c r="A5" s="27" t="s">
        <v>90</v>
      </c>
      <c r="B5" s="27" t="s">
        <v>119</v>
      </c>
      <c r="C5" s="27">
        <v>3</v>
      </c>
      <c r="D5" s="27">
        <v>3</v>
      </c>
      <c r="E5" s="27" t="s">
        <v>91</v>
      </c>
      <c r="F5" s="27" t="s">
        <v>120</v>
      </c>
    </row>
  </sheetData>
  <mergeCells count="2">
    <mergeCell ref="A1:F1"/>
    <mergeCell ref="A2:F2"/>
  </mergeCells>
  <pageMargins left="0.3" right="0.3" top="0.5" bottom="0.5" header="0.2" footer="0.2"/>
  <pageSetup orientation="landscape" fitToWidth="1" fitToHeight="0"/>
  <headerFooter>
    <oddFooter>Kennel Training Tracker · &amp;D · 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How to Use</vt:lpstr>
      <vt:lpstr>Enter Training</vt:lpstr>
      <vt:lpstr>Dogs</vt:lpstr>
      <vt:lpstr>Trainings</vt:lpstr>
      <vt:lpstr>Dog Runs</vt:lpstr>
      <vt:lpstr>Health</vt:lpstr>
      <vt:lpstr>Fixed 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Kennel Training Tracker</dc:creator>
  <dc:title/>
  <dc:subject/>
  <dc:description/>
  <cp:keywords/>
  <cp:category/>
  <cp:lastModifiedBy>Unknown</cp:lastModifiedBy>
  <dcterms:created xsi:type="dcterms:W3CDTF">2026-08-27T15:52:22Z</dcterms:created>
  <dcterms:modified xsi:type="dcterms:W3CDTF">2026-08-27T15:52:22Z</dcterms:modified>
</cp:coreProperties>
</file>